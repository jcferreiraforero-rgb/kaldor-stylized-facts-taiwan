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cfer\Desktop\"/>
    </mc:Choice>
  </mc:AlternateContent>
  <xr:revisionPtr revIDLastSave="0" documentId="13_ncr:1_{61396A0F-3198-40DE-A097-A7D4C406F81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shboard" sheetId="11" r:id="rId1"/>
    <sheet name="H1-PIB por L" sheetId="2" r:id="rId2"/>
    <sheet name="H2-Capital por L" sheetId="3" r:id="rId3"/>
    <sheet name="H3-K sobre Y" sheetId="4" r:id="rId4"/>
    <sheet name="H4-Labsh" sheetId="5" r:id="rId5"/>
    <sheet name="H5-Retorno" sheetId="6" r:id="rId6"/>
    <sheet name="H6-Salarios" sheetId="7" r:id="rId7"/>
    <sheet name="Datos Raw" sheetId="8" r:id="rId8"/>
    <sheet name="Metodologia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1" l="1"/>
  <c r="C9" i="11"/>
  <c r="D9" i="11"/>
  <c r="E9" i="11"/>
  <c r="F9" i="11"/>
  <c r="A9" i="11"/>
  <c r="F7" i="2"/>
  <c r="E8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7" i="2"/>
  <c r="I1" i="2"/>
  <c r="F7" i="3"/>
  <c r="E8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7" i="3"/>
  <c r="I1" i="3"/>
  <c r="C81" i="4"/>
  <c r="C80" i="4"/>
  <c r="F1" i="4"/>
  <c r="F1" i="5"/>
  <c r="C81" i="6"/>
  <c r="C80" i="6"/>
  <c r="F1" i="6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7" i="7"/>
  <c r="E8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7" i="7"/>
  <c r="I1" i="7"/>
  <c r="F8" i="2" l="1"/>
  <c r="E9" i="2"/>
  <c r="F9" i="2" s="1"/>
  <c r="E10" i="2"/>
  <c r="B80" i="2"/>
  <c r="F8" i="3"/>
  <c r="E9" i="3"/>
  <c r="F9" i="3" s="1"/>
  <c r="B80" i="3"/>
  <c r="C82" i="4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82" i="6"/>
  <c r="C83" i="6" s="1"/>
  <c r="C84" i="6" s="1"/>
  <c r="C85" i="6" s="1"/>
  <c r="C86" i="6" s="1"/>
  <c r="C87" i="6" s="1"/>
  <c r="C88" i="6"/>
  <c r="C89" i="6" s="1"/>
  <c r="C90" i="6"/>
  <c r="C91" i="6" s="1"/>
  <c r="C92" i="6"/>
  <c r="C93" i="6" s="1"/>
  <c r="C94" i="6"/>
  <c r="C95" i="6" s="1"/>
  <c r="C96" i="6"/>
  <c r="C97" i="6" s="1"/>
  <c r="C98" i="6"/>
  <c r="C99" i="6" s="1"/>
  <c r="C100" i="6" s="1"/>
  <c r="C101" i="6" s="1"/>
  <c r="C102" i="6" s="1"/>
  <c r="C103" i="6"/>
  <c r="C104" i="6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B80" i="7"/>
  <c r="E11" i="2" l="1"/>
  <c r="F10" i="2"/>
  <c r="E13" i="2"/>
  <c r="D80" i="2"/>
  <c r="B81" i="2"/>
  <c r="E10" i="3"/>
  <c r="E11" i="3"/>
  <c r="F10" i="3"/>
  <c r="B81" i="3"/>
  <c r="D80" i="3"/>
  <c r="C105" i="6"/>
  <c r="C106" i="6" s="1"/>
  <c r="B81" i="7"/>
  <c r="D80" i="7"/>
  <c r="F11" i="2" l="1"/>
  <c r="E12" i="2"/>
  <c r="F12" i="2" s="1"/>
  <c r="E14" i="2"/>
  <c r="F13" i="2"/>
  <c r="B82" i="2"/>
  <c r="D81" i="2"/>
  <c r="F11" i="3"/>
  <c r="E12" i="3"/>
  <c r="B82" i="3"/>
  <c r="D81" i="3"/>
  <c r="B82" i="7"/>
  <c r="D81" i="7"/>
  <c r="F14" i="2" l="1"/>
  <c r="E15" i="2"/>
  <c r="D82" i="2"/>
  <c r="B83" i="2"/>
  <c r="F12" i="3"/>
  <c r="E13" i="3"/>
  <c r="D82" i="3"/>
  <c r="B83" i="3"/>
  <c r="D82" i="7"/>
  <c r="B83" i="7"/>
  <c r="F15" i="2" l="1"/>
  <c r="E16" i="2"/>
  <c r="D83" i="2"/>
  <c r="B84" i="2"/>
  <c r="F13" i="3"/>
  <c r="E14" i="3"/>
  <c r="D83" i="3"/>
  <c r="B84" i="3"/>
  <c r="D83" i="7"/>
  <c r="B84" i="7"/>
  <c r="F16" i="2" l="1"/>
  <c r="E17" i="2"/>
  <c r="D84" i="2"/>
  <c r="B85" i="2"/>
  <c r="F14" i="3"/>
  <c r="E15" i="3"/>
  <c r="B85" i="3"/>
  <c r="D84" i="3"/>
  <c r="B85" i="7"/>
  <c r="D84" i="7"/>
  <c r="F17" i="2" l="1"/>
  <c r="E18" i="2"/>
  <c r="D85" i="2"/>
  <c r="B86" i="2"/>
  <c r="F15" i="3"/>
  <c r="E16" i="3"/>
  <c r="D85" i="3"/>
  <c r="B86" i="3"/>
  <c r="D85" i="7"/>
  <c r="B86" i="7"/>
  <c r="F18" i="2" l="1"/>
  <c r="E19" i="2"/>
  <c r="D86" i="2"/>
  <c r="B87" i="2"/>
  <c r="F16" i="3"/>
  <c r="E17" i="3"/>
  <c r="D86" i="3"/>
  <c r="B87" i="3"/>
  <c r="D86" i="7"/>
  <c r="B87" i="7"/>
  <c r="F19" i="2" l="1"/>
  <c r="E20" i="2"/>
  <c r="D87" i="2"/>
  <c r="B88" i="2"/>
  <c r="F17" i="3"/>
  <c r="E18" i="3"/>
  <c r="D87" i="3"/>
  <c r="B88" i="3"/>
  <c r="D87" i="7"/>
  <c r="B88" i="7"/>
  <c r="F20" i="2" l="1"/>
  <c r="E21" i="2"/>
  <c r="D88" i="2"/>
  <c r="B89" i="2"/>
  <c r="F18" i="3"/>
  <c r="E19" i="3"/>
  <c r="D88" i="3"/>
  <c r="B89" i="3"/>
  <c r="D88" i="7"/>
  <c r="B89" i="7"/>
  <c r="F21" i="2" l="1"/>
  <c r="E22" i="2"/>
  <c r="D89" i="2"/>
  <c r="B90" i="2"/>
  <c r="F19" i="3"/>
  <c r="E20" i="3"/>
  <c r="D89" i="3"/>
  <c r="B90" i="3"/>
  <c r="D89" i="7"/>
  <c r="B90" i="7"/>
  <c r="F22" i="2" l="1"/>
  <c r="E23" i="2"/>
  <c r="D90" i="2"/>
  <c r="B91" i="2"/>
  <c r="F20" i="3"/>
  <c r="E21" i="3"/>
  <c r="D90" i="3"/>
  <c r="B91" i="3"/>
  <c r="D90" i="7"/>
  <c r="B91" i="7"/>
  <c r="F23" i="2" l="1"/>
  <c r="E24" i="2"/>
  <c r="D91" i="2"/>
  <c r="B92" i="2"/>
  <c r="F21" i="3"/>
  <c r="E22" i="3"/>
  <c r="D91" i="3"/>
  <c r="B92" i="3"/>
  <c r="D91" i="7"/>
  <c r="B92" i="7"/>
  <c r="F24" i="2" l="1"/>
  <c r="E25" i="2"/>
  <c r="D92" i="2"/>
  <c r="B93" i="2"/>
  <c r="F22" i="3"/>
  <c r="E23" i="3"/>
  <c r="D92" i="3"/>
  <c r="B93" i="3"/>
  <c r="D92" i="7"/>
  <c r="B93" i="7"/>
  <c r="F25" i="2" l="1"/>
  <c r="E26" i="2"/>
  <c r="D93" i="2"/>
  <c r="B94" i="2"/>
  <c r="F23" i="3"/>
  <c r="E24" i="3"/>
  <c r="D93" i="3"/>
  <c r="B94" i="3"/>
  <c r="B94" i="7"/>
  <c r="D93" i="7"/>
  <c r="F26" i="2" l="1"/>
  <c r="E27" i="2"/>
  <c r="D94" i="2"/>
  <c r="B95" i="2"/>
  <c r="F24" i="3"/>
  <c r="E25" i="3"/>
  <c r="D94" i="3"/>
  <c r="B95" i="3"/>
  <c r="D94" i="7"/>
  <c r="B95" i="7"/>
  <c r="F27" i="2" l="1"/>
  <c r="E28" i="2"/>
  <c r="D95" i="2"/>
  <c r="B96" i="2"/>
  <c r="F25" i="3"/>
  <c r="E26" i="3"/>
  <c r="D95" i="3"/>
  <c r="B96" i="3"/>
  <c r="D95" i="7"/>
  <c r="B96" i="7"/>
  <c r="F28" i="2" l="1"/>
  <c r="E29" i="2"/>
  <c r="D96" i="2"/>
  <c r="B97" i="2"/>
  <c r="F26" i="3"/>
  <c r="E27" i="3"/>
  <c r="D96" i="3"/>
  <c r="B97" i="3"/>
  <c r="D96" i="7"/>
  <c r="B97" i="7"/>
  <c r="F29" i="2" l="1"/>
  <c r="E30" i="2"/>
  <c r="D97" i="2"/>
  <c r="B98" i="2"/>
  <c r="F27" i="3"/>
  <c r="E28" i="3"/>
  <c r="D97" i="3"/>
  <c r="B98" i="3"/>
  <c r="D97" i="7"/>
  <c r="B98" i="7"/>
  <c r="F30" i="2" l="1"/>
  <c r="E31" i="2"/>
  <c r="D98" i="2"/>
  <c r="B99" i="2"/>
  <c r="F28" i="3"/>
  <c r="E29" i="3"/>
  <c r="D98" i="3"/>
  <c r="B99" i="3"/>
  <c r="D98" i="7"/>
  <c r="B99" i="7"/>
  <c r="F31" i="2" l="1"/>
  <c r="E32" i="2"/>
  <c r="D99" i="2"/>
  <c r="B100" i="2"/>
  <c r="F29" i="3"/>
  <c r="E30" i="3"/>
  <c r="B100" i="3"/>
  <c r="D99" i="3"/>
  <c r="D99" i="7"/>
  <c r="B100" i="7"/>
  <c r="F32" i="2" l="1"/>
  <c r="E33" i="2"/>
  <c r="D100" i="2"/>
  <c r="B101" i="2"/>
  <c r="F30" i="3"/>
  <c r="E31" i="3"/>
  <c r="D100" i="3"/>
  <c r="B101" i="3"/>
  <c r="D100" i="7"/>
  <c r="B101" i="7"/>
  <c r="F33" i="2" l="1"/>
  <c r="E34" i="2"/>
  <c r="D101" i="2"/>
  <c r="B102" i="2"/>
  <c r="F31" i="3"/>
  <c r="E32" i="3"/>
  <c r="D101" i="3"/>
  <c r="B102" i="3"/>
  <c r="D101" i="7"/>
  <c r="B102" i="7"/>
  <c r="F34" i="2" l="1"/>
  <c r="E35" i="2"/>
  <c r="D102" i="2"/>
  <c r="B103" i="2"/>
  <c r="F32" i="3"/>
  <c r="E33" i="3"/>
  <c r="D102" i="3"/>
  <c r="B103" i="3"/>
  <c r="D102" i="7"/>
  <c r="B103" i="7"/>
  <c r="F35" i="2" l="1"/>
  <c r="E36" i="2"/>
  <c r="D103" i="2"/>
  <c r="B104" i="2"/>
  <c r="F33" i="3"/>
  <c r="E34" i="3"/>
  <c r="D103" i="3"/>
  <c r="B104" i="3"/>
  <c r="D103" i="7"/>
  <c r="B104" i="7"/>
  <c r="F36" i="2" l="1"/>
  <c r="E37" i="2"/>
  <c r="D104" i="2"/>
  <c r="B105" i="2"/>
  <c r="F34" i="3"/>
  <c r="E35" i="3"/>
  <c r="D104" i="3"/>
  <c r="B105" i="3"/>
  <c r="D104" i="7"/>
  <c r="B105" i="7"/>
  <c r="F37" i="2" l="1"/>
  <c r="E38" i="2"/>
  <c r="D105" i="2"/>
  <c r="B106" i="2"/>
  <c r="D106" i="2" s="1"/>
  <c r="F35" i="3"/>
  <c r="E36" i="3"/>
  <c r="D105" i="3"/>
  <c r="B106" i="3"/>
  <c r="D106" i="3" s="1"/>
  <c r="D105" i="7"/>
  <c r="B106" i="7"/>
  <c r="D106" i="7" s="1"/>
  <c r="F38" i="2" l="1"/>
  <c r="E39" i="2"/>
  <c r="F36" i="3"/>
  <c r="E37" i="3"/>
  <c r="F39" i="2" l="1"/>
  <c r="E40" i="2"/>
  <c r="F37" i="3"/>
  <c r="E38" i="3"/>
  <c r="F40" i="2" l="1"/>
  <c r="E41" i="2"/>
  <c r="F38" i="3"/>
  <c r="E39" i="3"/>
  <c r="F41" i="2" l="1"/>
  <c r="E42" i="2"/>
  <c r="F39" i="3"/>
  <c r="E40" i="3"/>
  <c r="F42" i="2" l="1"/>
  <c r="E43" i="2"/>
  <c r="F40" i="3"/>
  <c r="E41" i="3"/>
  <c r="F43" i="2" l="1"/>
  <c r="E44" i="2"/>
  <c r="F41" i="3"/>
  <c r="E42" i="3"/>
  <c r="F44" i="2" l="1"/>
  <c r="E45" i="2"/>
  <c r="F42" i="3"/>
  <c r="E43" i="3"/>
  <c r="F45" i="2" l="1"/>
  <c r="E46" i="2"/>
  <c r="F43" i="3"/>
  <c r="E44" i="3"/>
  <c r="F46" i="2" l="1"/>
  <c r="E47" i="2"/>
  <c r="F44" i="3"/>
  <c r="E45" i="3"/>
  <c r="F47" i="2" l="1"/>
  <c r="E48" i="2"/>
  <c r="F45" i="3"/>
  <c r="E46" i="3"/>
  <c r="F48" i="2" l="1"/>
  <c r="E49" i="2"/>
  <c r="F46" i="3"/>
  <c r="E47" i="3"/>
  <c r="F49" i="2" l="1"/>
  <c r="E50" i="2"/>
  <c r="F47" i="3"/>
  <c r="E48" i="3"/>
  <c r="F50" i="2" l="1"/>
  <c r="E51" i="2"/>
  <c r="F48" i="3"/>
  <c r="E49" i="3"/>
  <c r="F51" i="2" l="1"/>
  <c r="E52" i="2"/>
  <c r="F49" i="3"/>
  <c r="E50" i="3"/>
  <c r="F52" i="2" l="1"/>
  <c r="E53" i="2"/>
  <c r="F50" i="3"/>
  <c r="E51" i="3"/>
  <c r="F53" i="2" l="1"/>
  <c r="E54" i="2"/>
  <c r="F51" i="3"/>
  <c r="E52" i="3"/>
  <c r="F54" i="2" l="1"/>
  <c r="E55" i="2"/>
  <c r="F52" i="3"/>
  <c r="E53" i="3"/>
  <c r="F55" i="2" l="1"/>
  <c r="E56" i="2"/>
  <c r="F53" i="3"/>
  <c r="E54" i="3"/>
  <c r="F56" i="2" l="1"/>
  <c r="E57" i="2"/>
  <c r="F54" i="3"/>
  <c r="E55" i="3"/>
  <c r="F57" i="2" l="1"/>
  <c r="E58" i="2"/>
  <c r="F55" i="3"/>
  <c r="E56" i="3"/>
  <c r="F58" i="2" l="1"/>
  <c r="E59" i="2"/>
  <c r="F56" i="3"/>
  <c r="E57" i="3"/>
  <c r="F59" i="2" l="1"/>
  <c r="E60" i="2"/>
  <c r="F57" i="3"/>
  <c r="E58" i="3"/>
  <c r="F60" i="2" l="1"/>
  <c r="E61" i="2"/>
  <c r="F58" i="3"/>
  <c r="E59" i="3"/>
  <c r="F61" i="2" l="1"/>
  <c r="E62" i="2"/>
  <c r="F59" i="3"/>
  <c r="E60" i="3"/>
  <c r="F62" i="2" l="1"/>
  <c r="E63" i="2"/>
  <c r="F60" i="3"/>
  <c r="E61" i="3"/>
  <c r="F63" i="2" l="1"/>
  <c r="E64" i="2"/>
  <c r="F61" i="3"/>
  <c r="E62" i="3"/>
  <c r="F64" i="2" l="1"/>
  <c r="E65" i="2"/>
  <c r="F62" i="3"/>
  <c r="E63" i="3"/>
  <c r="F65" i="2" l="1"/>
  <c r="E66" i="2"/>
  <c r="F63" i="3"/>
  <c r="E64" i="3"/>
  <c r="F66" i="2" l="1"/>
  <c r="E67" i="2"/>
  <c r="F64" i="3"/>
  <c r="E65" i="3"/>
  <c r="F67" i="2" l="1"/>
  <c r="E68" i="2"/>
  <c r="F65" i="3"/>
  <c r="E66" i="3"/>
  <c r="F68" i="2" l="1"/>
  <c r="E69" i="2"/>
  <c r="F66" i="3"/>
  <c r="E67" i="3"/>
  <c r="F69" i="2" l="1"/>
  <c r="E70" i="2"/>
  <c r="F67" i="3"/>
  <c r="E68" i="3"/>
  <c r="F70" i="2" l="1"/>
  <c r="E71" i="2"/>
  <c r="F68" i="3"/>
  <c r="E69" i="3"/>
  <c r="F71" i="2" l="1"/>
  <c r="E72" i="2"/>
  <c r="F69" i="3"/>
  <c r="E70" i="3"/>
  <c r="F72" i="2" l="1"/>
  <c r="E73" i="2"/>
  <c r="F70" i="3"/>
  <c r="E71" i="3"/>
  <c r="F73" i="2" l="1"/>
  <c r="E74" i="2"/>
  <c r="F71" i="3"/>
  <c r="E72" i="3"/>
  <c r="F74" i="2" l="1"/>
  <c r="E75" i="2"/>
  <c r="F72" i="3"/>
  <c r="E73" i="3"/>
  <c r="F75" i="2" l="1"/>
  <c r="E76" i="2"/>
  <c r="F73" i="3"/>
  <c r="E74" i="3"/>
  <c r="F76" i="2" l="1"/>
  <c r="E77" i="2"/>
  <c r="F74" i="3"/>
  <c r="E75" i="3"/>
  <c r="F77" i="2" l="1"/>
  <c r="E78" i="2"/>
  <c r="F75" i="3"/>
  <c r="E76" i="3"/>
  <c r="F78" i="2" l="1"/>
  <c r="E79" i="2"/>
  <c r="F76" i="3"/>
  <c r="E77" i="3"/>
  <c r="F79" i="2" l="1"/>
  <c r="E80" i="2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F77" i="3"/>
  <c r="E78" i="3"/>
  <c r="F78" i="3" l="1"/>
  <c r="E79" i="3"/>
  <c r="F79" i="3" l="1"/>
  <c r="E80" i="3"/>
  <c r="F80" i="3" l="1"/>
  <c r="E81" i="3"/>
  <c r="F81" i="3" l="1"/>
  <c r="E82" i="3"/>
  <c r="F82" i="3" l="1"/>
  <c r="E83" i="3"/>
  <c r="F83" i="3" l="1"/>
  <c r="E84" i="3"/>
  <c r="F84" i="3" l="1"/>
  <c r="E85" i="3"/>
  <c r="F85" i="3" l="1"/>
  <c r="E86" i="3"/>
  <c r="F86" i="3" l="1"/>
  <c r="E87" i="3"/>
  <c r="F87" i="3" l="1"/>
  <c r="E88" i="3"/>
  <c r="F88" i="3" l="1"/>
  <c r="E89" i="3"/>
  <c r="F89" i="3" l="1"/>
  <c r="E90" i="3"/>
  <c r="F90" i="3" l="1"/>
  <c r="E91" i="3"/>
  <c r="F91" i="3" l="1"/>
  <c r="E92" i="3"/>
  <c r="F92" i="3" l="1"/>
  <c r="E93" i="3"/>
  <c r="F93" i="3" l="1"/>
  <c r="E94" i="3"/>
  <c r="F94" i="3" l="1"/>
  <c r="E95" i="3"/>
  <c r="F95" i="3" l="1"/>
  <c r="E96" i="3"/>
  <c r="F96" i="3" l="1"/>
  <c r="E97" i="3"/>
  <c r="F97" i="3" l="1"/>
  <c r="E98" i="3"/>
  <c r="F98" i="3" l="1"/>
  <c r="E99" i="3"/>
  <c r="F99" i="3" l="1"/>
  <c r="E100" i="3"/>
  <c r="F100" i="3" l="1"/>
  <c r="E101" i="3"/>
  <c r="F101" i="3" l="1"/>
  <c r="E102" i="3"/>
  <c r="F102" i="3" l="1"/>
  <c r="E103" i="3"/>
  <c r="F103" i="3" l="1"/>
  <c r="E104" i="3"/>
  <c r="F104" i="3" l="1"/>
  <c r="E105" i="3"/>
  <c r="F105" i="3" l="1"/>
  <c r="E106" i="3"/>
  <c r="F106" i="3" s="1"/>
</calcChain>
</file>

<file path=xl/sharedStrings.xml><?xml version="1.0" encoding="utf-8"?>
<sst xmlns="http://schemas.openxmlformats.org/spreadsheetml/2006/main" count="160" uniqueCount="128">
  <si>
    <t>HECHOS DE KALDOR — TAIWÁN (1951–2050)</t>
  </si>
  <si>
    <t>INDICADORES CLAVE — TAIWÁN 2023</t>
  </si>
  <si>
    <t>Labsh</t>
  </si>
  <si>
    <t>w 2023</t>
  </si>
  <si>
    <t>PIB por trabajador (USD 2021)</t>
  </si>
  <si>
    <t>Capital por trabajador (USD 2021)</t>
  </si>
  <si>
    <t>Relacion capital-producto</t>
  </si>
  <si>
    <t>Participacion del trabajo</t>
  </si>
  <si>
    <t>Tasa interna de retorno</t>
  </si>
  <si>
    <t>Salario real (USD 2021)</t>
  </si>
  <si>
    <t>RESUMEN DE LOS SEIS HECHOS DE KALDOR</t>
  </si>
  <si>
    <t>Hecho</t>
  </si>
  <si>
    <t>Indicador</t>
  </si>
  <si>
    <t>Hoja de Detalle</t>
  </si>
  <si>
    <t>Crec. Anual</t>
  </si>
  <si>
    <t>H1</t>
  </si>
  <si>
    <t>Y/L: Producto por Trabajador</t>
  </si>
  <si>
    <t>H1-PIB por L</t>
  </si>
  <si>
    <t>+4.45%/año</t>
  </si>
  <si>
    <t>H2</t>
  </si>
  <si>
    <t>K/L: Capital por Trabajador</t>
  </si>
  <si>
    <t>H2-Capital por L</t>
  </si>
  <si>
    <t>+4.83%/año</t>
  </si>
  <si>
    <t>H3</t>
  </si>
  <si>
    <t>K/Y: Relacion Capital-Producto</t>
  </si>
  <si>
    <t>H3-K sobre Y</t>
  </si>
  <si>
    <t>+0.38%/año</t>
  </si>
  <si>
    <t>H4</t>
  </si>
  <si>
    <t>Labsh: Participacion del Trabajo</t>
  </si>
  <si>
    <t>H4-Labsh</t>
  </si>
  <si>
    <t>0.00%/año</t>
  </si>
  <si>
    <t>H5</t>
  </si>
  <si>
    <t>R: Tasa de Retorno del Capital</t>
  </si>
  <si>
    <t>H5-Retorno</t>
  </si>
  <si>
    <t>-0.38%/año</t>
  </si>
  <si>
    <t>H6</t>
  </si>
  <si>
    <t>w: Salarios Reales</t>
  </si>
  <si>
    <t>H6-Salarios</t>
  </si>
  <si>
    <t>HECHO 1 — Producto por Trabajador (Y/L)</t>
  </si>
  <si>
    <t>PIB real por trabajador — Penn World Tables v11.0</t>
  </si>
  <si>
    <t>Definicion: El producto por trabajador crece a tasa constante a largo plazo y no se estanca.</t>
  </si>
  <si>
    <t>Año</t>
  </si>
  <si>
    <t>Y/L Real (USD 2021)</t>
  </si>
  <si>
    <t>Tendencia</t>
  </si>
  <si>
    <t>Proyeccion 2024-2050</t>
  </si>
  <si>
    <t>Fuente: Penn World Tables v11.0 | Feenstra, Inklaar &amp; Timmer (2015) | Elaboracion propia</t>
  </si>
  <si>
    <t>HECHO 2 — Capital por Trabajador (K/L)</t>
  </si>
  <si>
    <t>Stock de capital real por trabajador — Penn World Tables v11.0</t>
  </si>
  <si>
    <t>Definicion: El stock de capital disponible para cada trabajador aumenta a tasa estable a largo plazo.</t>
  </si>
  <si>
    <t>K/L Real (USD 2021)</t>
  </si>
  <si>
    <t>HECHO 3 — Relacion Capital-Producto (K/Y)</t>
  </si>
  <si>
    <t>Ratio capital sobre PIB — Penn World Tables v11.0</t>
  </si>
  <si>
    <t>Definicion: La relacion capital-producto crece a ritmo aproximadamente constante en largos periodos.</t>
  </si>
  <si>
    <t>K/Y (Ratio)</t>
  </si>
  <si>
    <t>HECHO 4 — Participacion del Trabajo (Labsh)</t>
  </si>
  <si>
    <t>Participacion de la remuneracion laboral en el PIB — Penn World Tables v11.0</t>
  </si>
  <si>
    <t>Crecimiento promedio anual: +0.00%   |   Veredicto: Cumple</t>
  </si>
  <si>
    <t>Definicion: La participacion del trabajo en el ingreso tiende a permanecer estable a largo plazo.</t>
  </si>
  <si>
    <t>Labsh (%)</t>
  </si>
  <si>
    <t>HECHO 5 — Tasa de Retorno del Capital (R)</t>
  </si>
  <si>
    <t>Internal rate of return del capital — Penn World Tables v11.0</t>
  </si>
  <si>
    <t>Definicion: La tasa de retorno del capital es relativamente constante a largo plazo.</t>
  </si>
  <si>
    <t>IRR (Tasa Retorno)</t>
  </si>
  <si>
    <t>HECHO 6 — Salarios Reales (w)</t>
  </si>
  <si>
    <t>Salario real por trabajador — Penn World Tables v11.0</t>
  </si>
  <si>
    <t>Definicion: Los salarios reales crecen a una tasa sostenida a lo largo del tiempo.</t>
  </si>
  <si>
    <t>Salario Real (USD 2021)</t>
  </si>
  <si>
    <t>Y/L (USD)</t>
  </si>
  <si>
    <t>K/L (USD)</t>
  </si>
  <si>
    <t>K/Y</t>
  </si>
  <si>
    <t>IRR</t>
  </si>
  <si>
    <t>Salario (USD)</t>
  </si>
  <si>
    <t>METODOLOGIA Y FUENTES</t>
  </si>
  <si>
    <t>Hechos de Kaldor — Taiwan 1951-2023 con proyecciones hasta 2050</t>
  </si>
  <si>
    <t>Variable</t>
  </si>
  <si>
    <t>Formula o Definicion</t>
  </si>
  <si>
    <t>Fuente</t>
  </si>
  <si>
    <t>Y/L — PIB por Trabajador</t>
  </si>
  <si>
    <t>rgdpe / emp</t>
  </si>
  <si>
    <t>rgdpe, emp — Penn World Tables v11.0</t>
  </si>
  <si>
    <t>K/L — Capital por Trabajador</t>
  </si>
  <si>
    <t>rnna / emp</t>
  </si>
  <si>
    <t>rnna, emp — Penn World Tables v11.0</t>
  </si>
  <si>
    <t>K/Y — Relacion Capital-Producto</t>
  </si>
  <si>
    <t>rnna / rgdpe</t>
  </si>
  <si>
    <t>rnna, rgdpe — Penn World Tables v11.0</t>
  </si>
  <si>
    <t>Labsh — Participacion del Trabajo</t>
  </si>
  <si>
    <t>labsh (variable directa)</t>
  </si>
  <si>
    <t>labsh — Penn World Tables v11.0</t>
  </si>
  <si>
    <t>R — Tasa de Retorno</t>
  </si>
  <si>
    <t>(1-labsh) x rgdpe / rnna</t>
  </si>
  <si>
    <t>rgdpe, rnna, labsh — Penn World Tables v11.0</t>
  </si>
  <si>
    <t>w — Salarios Reales</t>
  </si>
  <si>
    <t>labsh x rgdpe / emp</t>
  </si>
  <si>
    <t>rgdpe, labsh, emp — Penn World Tables v11.0</t>
  </si>
  <si>
    <t>Regresion exponencial sobre Ln(variable)</t>
  </si>
  <si>
    <t>Elaboracion propia</t>
  </si>
  <si>
    <t>Extrapolacion tasa de crecimiento promedio</t>
  </si>
  <si>
    <t>Pais analizado</t>
  </si>
  <si>
    <t>Taiwan (TWN)</t>
  </si>
  <si>
    <t>Penn World Tables v11.0</t>
  </si>
  <si>
    <t>Periodo historico</t>
  </si>
  <si>
    <t>1951 — 2023</t>
  </si>
  <si>
    <t>Periodo proyectado</t>
  </si>
  <si>
    <t>2024 — 2050</t>
  </si>
  <si>
    <t>Referencia</t>
  </si>
  <si>
    <t>Feenstra, Inklaar &amp; Timmer (2015)</t>
  </si>
  <si>
    <t>American Economic Review, 105(10), 3150-3182</t>
  </si>
  <si>
    <t>URL base de datos</t>
  </si>
  <si>
    <t>www.ggdc.net/pwt</t>
  </si>
  <si>
    <t>CRECIMIENTO</t>
  </si>
  <si>
    <t xml:space="preserve">Crecimiento promedio anual: +4.45%  </t>
  </si>
  <si>
    <t>Ln Salarios empiricos</t>
  </si>
  <si>
    <t xml:space="preserve">Ln proyeccion </t>
  </si>
  <si>
    <t>Ln tendencia</t>
  </si>
  <si>
    <t xml:space="preserve"> </t>
  </si>
  <si>
    <t xml:space="preserve">Crecimiento promedio anual: -0.38% </t>
  </si>
  <si>
    <t xml:space="preserve">Crecimiento promedio anual: +0.38% </t>
  </si>
  <si>
    <t>Ln K/Y Real</t>
  </si>
  <si>
    <t>Ln K/Y proyeccion</t>
  </si>
  <si>
    <t xml:space="preserve">Crecimiento promedio anual: +4.45%   </t>
  </si>
  <si>
    <t xml:space="preserve">Crecimiento promedio anual: +4.83%   </t>
  </si>
  <si>
    <t>Ln Y/L</t>
  </si>
  <si>
    <t>Ln Y/L proyección</t>
  </si>
  <si>
    <t>Y/L</t>
  </si>
  <si>
    <t xml:space="preserve">K/L </t>
  </si>
  <si>
    <t>Fuente: Penn World Tables v11.0 | Feenstra, Inklaar &amp; Timmer (2015) |</t>
  </si>
  <si>
    <t xml:space="preserve">Fuente: Penn World Tables v11.0 | Feenstra, Inklaar &amp; Timmer (2015)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</si>
</sst>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%"/>
    <numFmt numFmtId="166" formatCode="#,##0.0000"/>
    <numFmt numFmtId="167" formatCode="#,##0.00000"/>
    <numFmt numFmtId="168" formatCode="0.00_ ;\-0.00\ "/>
  </numFmts>
  <fonts count="2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b/>
      <sz val="12"/>
      <color rgb="FF1B3A6B"/>
      <name val="Calibri"/>
      <family val="2"/>
    </font>
    <font>
      <sz val="10"/>
      <color rgb="FF2C2C2C"/>
      <name val="Calibri"/>
      <family val="2"/>
    </font>
    <font>
      <b/>
      <sz val="13"/>
      <color rgb="FF1E8449"/>
      <name val="Calibri"/>
      <family val="2"/>
    </font>
    <font>
      <b/>
      <sz val="10"/>
      <color rgb="FF2C2C2C"/>
      <name val="Calibri"/>
      <family val="2"/>
    </font>
    <font>
      <i/>
      <sz val="8"/>
      <color rgb="FF6C757D"/>
      <name val="Calibri"/>
      <family val="2"/>
    </font>
    <font>
      <b/>
      <sz val="10"/>
      <color rgb="FFFFFFFF"/>
      <name val="Calibri"/>
      <family val="2"/>
    </font>
    <font>
      <b/>
      <sz val="10"/>
      <color rgb="FF1B3A6B"/>
      <name val="Calibri"/>
      <family val="2"/>
    </font>
    <font>
      <i/>
      <sz val="9"/>
      <color rgb="FF6C757D"/>
      <name val="Calibri"/>
      <family val="2"/>
    </font>
    <font>
      <b/>
      <sz val="14"/>
      <color rgb="FFFFFFFF"/>
      <name val="Calibri"/>
      <family val="2"/>
    </font>
    <font>
      <i/>
      <sz val="10"/>
      <color rgb="FF6C757D"/>
      <name val="Calibri"/>
      <family val="2"/>
    </font>
    <font>
      <i/>
      <sz val="9"/>
      <color rgb="FF1B3A6B"/>
      <name val="Calibri"/>
      <family val="2"/>
    </font>
    <font>
      <b/>
      <sz val="10"/>
      <color rgb="FF8B6914"/>
      <name val="Calibri"/>
      <family val="2"/>
    </font>
    <font>
      <sz val="10"/>
      <color rgb="FF8B6914"/>
      <name val="Calibri"/>
      <family val="2"/>
    </font>
    <font>
      <sz val="10"/>
      <color rgb="FF6C757D"/>
      <name val="Calibri"/>
      <family val="2"/>
    </font>
    <font>
      <sz val="14"/>
      <color rgb="FF2C2C2C"/>
      <name val="Calibri"/>
      <family val="2"/>
    </font>
    <font>
      <b/>
      <sz val="10"/>
      <color rgb="FFFFFFFF"/>
      <name val="Calibri"/>
      <family val="2"/>
    </font>
    <font>
      <b/>
      <sz val="15"/>
      <color rgb="FF2C2C2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1A7A7A"/>
      </patternFill>
    </fill>
    <fill>
      <patternFill patternType="solid">
        <fgColor rgb="FFFFFFFF"/>
      </patternFill>
    </fill>
    <fill>
      <patternFill patternType="solid">
        <fgColor rgb="FFF2F4F6"/>
      </patternFill>
    </fill>
    <fill>
      <patternFill patternType="solid">
        <fgColor rgb="FF1E8449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D4A017"/>
      </patternFill>
    </fill>
    <fill>
      <patternFill patternType="solid">
        <fgColor rgb="FFEAF2FB"/>
      </patternFill>
    </fill>
    <fill>
      <patternFill patternType="solid">
        <fgColor rgb="FFFFF9E6"/>
      </patternFill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C0392B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4" fontId="4" fillId="10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4" fontId="4" fillId="10" borderId="3" xfId="0" applyNumberFormat="1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4" fontId="15" fillId="11" borderId="1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10" borderId="3" xfId="0" applyNumberFormat="1" applyFont="1" applyFill="1" applyBorder="1" applyAlignment="1">
      <alignment horizontal="center" vertical="center"/>
    </xf>
    <xf numFmtId="164" fontId="15" fillId="11" borderId="1" xfId="0" applyNumberFormat="1" applyFont="1" applyFill="1" applyBorder="1" applyAlignment="1">
      <alignment horizontal="center" vertical="center"/>
    </xf>
    <xf numFmtId="165" fontId="4" fillId="10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5" fontId="4" fillId="10" borderId="3" xfId="0" applyNumberFormat="1" applyFont="1" applyFill="1" applyBorder="1" applyAlignment="1">
      <alignment horizontal="center" vertical="center"/>
    </xf>
    <xf numFmtId="165" fontId="15" fillId="11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vertical="center"/>
    </xf>
    <xf numFmtId="166" fontId="17" fillId="10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67" fontId="17" fillId="10" borderId="1" xfId="0" applyNumberFormat="1" applyFont="1" applyFill="1" applyBorder="1" applyAlignment="1">
      <alignment horizontal="center" vertical="center"/>
    </xf>
    <xf numFmtId="168" fontId="5" fillId="4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0" fillId="0" borderId="2" xfId="0" applyBorder="1"/>
    <xf numFmtId="0" fontId="1" fillId="3" borderId="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/>
    <xf numFmtId="0" fontId="3" fillId="5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Y/L</a:t>
            </a:r>
            <a:r>
              <a:rPr lang="en-US" sz="1000" b="1" baseline="0"/>
              <a:t> - Taiwan 1951 - 2050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Y/L 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'H1-PIB por L'!$A$7:$A$106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cat>
          <c:val>
            <c:numRef>
              <c:f>'H1-PIB por L'!$C$7:$C$106</c:f>
              <c:numCache>
                <c:formatCode>#,##0.00</c:formatCode>
                <c:ptCount val="100"/>
                <c:pt idx="0">
                  <c:v>8.5692420070892474</c:v>
                </c:pt>
                <c:pt idx="1">
                  <c:v>8.7010973489190651</c:v>
                </c:pt>
                <c:pt idx="2">
                  <c:v>8.7742281064989296</c:v>
                </c:pt>
                <c:pt idx="3">
                  <c:v>8.8219156779736583</c:v>
                </c:pt>
                <c:pt idx="4">
                  <c:v>8.8680772542770416</c:v>
                </c:pt>
                <c:pt idx="5">
                  <c:v>8.9024203515780034</c:v>
                </c:pt>
                <c:pt idx="6">
                  <c:v>8.9623891141993699</c:v>
                </c:pt>
                <c:pt idx="7">
                  <c:v>9.0040487118067354</c:v>
                </c:pt>
                <c:pt idx="8">
                  <c:v>9.0463860658677202</c:v>
                </c:pt>
                <c:pt idx="9">
                  <c:v>9.095197083190639</c:v>
                </c:pt>
                <c:pt idx="10">
                  <c:v>9.147867882168935</c:v>
                </c:pt>
                <c:pt idx="11">
                  <c:v>9.1992685563185255</c:v>
                </c:pt>
                <c:pt idx="12">
                  <c:v>9.2856646951207207</c:v>
                </c:pt>
                <c:pt idx="13">
                  <c:v>9.4092820362322396</c:v>
                </c:pt>
                <c:pt idx="14">
                  <c:v>9.4963157546446801</c:v>
                </c:pt>
                <c:pt idx="15">
                  <c:v>9.5627966229289854</c:v>
                </c:pt>
                <c:pt idx="16">
                  <c:v>9.6278841690652541</c:v>
                </c:pt>
                <c:pt idx="17">
                  <c:v>9.6907178357898438</c:v>
                </c:pt>
                <c:pt idx="18">
                  <c:v>9.7618601211457108</c:v>
                </c:pt>
                <c:pt idx="19">
                  <c:v>9.8517678967338576</c:v>
                </c:pt>
                <c:pt idx="20">
                  <c:v>9.9513853999907216</c:v>
                </c:pt>
                <c:pt idx="21">
                  <c:v>10.052675433218772</c:v>
                </c:pt>
                <c:pt idx="22">
                  <c:v>10.098151348482466</c:v>
                </c:pt>
                <c:pt idx="23">
                  <c:v>10.043327012345621</c:v>
                </c:pt>
                <c:pt idx="24">
                  <c:v>10.069398770869036</c:v>
                </c:pt>
                <c:pt idx="25">
                  <c:v>10.212885080357101</c:v>
                </c:pt>
                <c:pt idx="26">
                  <c:v>10.252947209289786</c:v>
                </c:pt>
                <c:pt idx="27">
                  <c:v>10.333521965273414</c:v>
                </c:pt>
                <c:pt idx="28">
                  <c:v>10.370757886000385</c:v>
                </c:pt>
                <c:pt idx="29">
                  <c:v>10.401076446247545</c:v>
                </c:pt>
                <c:pt idx="30">
                  <c:v>10.4489327841424</c:v>
                </c:pt>
                <c:pt idx="31">
                  <c:v>10.473511029141278</c:v>
                </c:pt>
                <c:pt idx="32">
                  <c:v>10.517579488076652</c:v>
                </c:pt>
                <c:pt idx="33">
                  <c:v>10.572676037921278</c:v>
                </c:pt>
                <c:pt idx="34">
                  <c:v>10.600893867478094</c:v>
                </c:pt>
                <c:pt idx="35">
                  <c:v>10.687731285188027</c:v>
                </c:pt>
                <c:pt idx="36">
                  <c:v>10.756559051562171</c:v>
                </c:pt>
                <c:pt idx="37">
                  <c:v>10.799906928319544</c:v>
                </c:pt>
                <c:pt idx="38">
                  <c:v>10.868904104153993</c:v>
                </c:pt>
                <c:pt idx="39">
                  <c:v>10.922197064153455</c:v>
                </c:pt>
                <c:pt idx="40">
                  <c:v>10.989967616730116</c:v>
                </c:pt>
                <c:pt idx="41">
                  <c:v>11.032930511694175</c:v>
                </c:pt>
                <c:pt idx="42">
                  <c:v>11.085804587949646</c:v>
                </c:pt>
                <c:pt idx="43">
                  <c:v>11.130355293294441</c:v>
                </c:pt>
                <c:pt idx="44">
                  <c:v>11.175645999188633</c:v>
                </c:pt>
                <c:pt idx="45">
                  <c:v>11.257516802743041</c:v>
                </c:pt>
                <c:pt idx="46">
                  <c:v>11.310113784668349</c:v>
                </c:pt>
                <c:pt idx="47">
                  <c:v>11.360750425614075</c:v>
                </c:pt>
                <c:pt idx="48">
                  <c:v>11.39850894744972</c:v>
                </c:pt>
                <c:pt idx="49">
                  <c:v>11.425161442310289</c:v>
                </c:pt>
                <c:pt idx="50">
                  <c:v>11.43350335246468</c:v>
                </c:pt>
                <c:pt idx="51">
                  <c:v>11.469768977668174</c:v>
                </c:pt>
                <c:pt idx="52">
                  <c:v>11.478683257694762</c:v>
                </c:pt>
                <c:pt idx="53">
                  <c:v>11.490919315083623</c:v>
                </c:pt>
                <c:pt idx="54">
                  <c:v>11.503675233263515</c:v>
                </c:pt>
                <c:pt idx="55">
                  <c:v>11.519840274018749</c:v>
                </c:pt>
                <c:pt idx="56">
                  <c:v>11.550673770322605</c:v>
                </c:pt>
                <c:pt idx="57">
                  <c:v>11.496402266949513</c:v>
                </c:pt>
                <c:pt idx="58">
                  <c:v>11.511674760872785</c:v>
                </c:pt>
                <c:pt idx="59">
                  <c:v>11.574045610756594</c:v>
                </c:pt>
                <c:pt idx="60">
                  <c:v>11.568758861531599</c:v>
                </c:pt>
                <c:pt idx="61">
                  <c:v>11.584802351623736</c:v>
                </c:pt>
                <c:pt idx="62">
                  <c:v>11.582013332456251</c:v>
                </c:pt>
                <c:pt idx="63">
                  <c:v>11.603415316695331</c:v>
                </c:pt>
                <c:pt idx="64">
                  <c:v>11.627581532604378</c:v>
                </c:pt>
                <c:pt idx="65">
                  <c:v>11.618731538926275</c:v>
                </c:pt>
                <c:pt idx="66">
                  <c:v>11.615759681253159</c:v>
                </c:pt>
                <c:pt idx="67">
                  <c:v>11.607290394641133</c:v>
                </c:pt>
                <c:pt idx="68">
                  <c:v>11.636196409638504</c:v>
                </c:pt>
                <c:pt idx="69">
                  <c:v>11.699261131453234</c:v>
                </c:pt>
                <c:pt idx="70">
                  <c:v>11.743883809496573</c:v>
                </c:pt>
                <c:pt idx="71">
                  <c:v>11.751778386986739</c:v>
                </c:pt>
                <c:pt idx="72">
                  <c:v>11.773216350254417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EE-497D-81C4-EC7C51D3A3E4}"/>
            </c:ext>
          </c:extLst>
        </c:ser>
        <c:ser>
          <c:idx val="1"/>
          <c:order val="1"/>
          <c:tx>
            <c:v>Y/L proyección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'H1-PIB por L'!$A$7:$A$106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cat>
          <c:val>
            <c:numRef>
              <c:f>'H1-PIB por L'!$D$7:$D$106</c:f>
              <c:numCache>
                <c:formatCode>#,##0.00</c:formatCode>
                <c:ptCount val="100"/>
                <c:pt idx="72">
                  <c:v>11.773216350254417</c:v>
                </c:pt>
                <c:pt idx="73">
                  <c:v>11.816754311105676</c:v>
                </c:pt>
                <c:pt idx="74">
                  <c:v>11.860292271956933</c:v>
                </c:pt>
                <c:pt idx="75">
                  <c:v>11.903830232808192</c:v>
                </c:pt>
                <c:pt idx="76">
                  <c:v>11.947368193659448</c:v>
                </c:pt>
                <c:pt idx="77">
                  <c:v>11.990906154510707</c:v>
                </c:pt>
                <c:pt idx="78">
                  <c:v>12.034444115361966</c:v>
                </c:pt>
                <c:pt idx="79">
                  <c:v>12.077982076213223</c:v>
                </c:pt>
                <c:pt idx="80">
                  <c:v>12.121520037064482</c:v>
                </c:pt>
                <c:pt idx="81">
                  <c:v>12.165057997915738</c:v>
                </c:pt>
                <c:pt idx="82">
                  <c:v>12.208595958766997</c:v>
                </c:pt>
                <c:pt idx="83">
                  <c:v>12.252133919618254</c:v>
                </c:pt>
                <c:pt idx="84">
                  <c:v>12.295671880469513</c:v>
                </c:pt>
                <c:pt idx="85">
                  <c:v>12.33920984132077</c:v>
                </c:pt>
                <c:pt idx="86">
                  <c:v>12.382747802172029</c:v>
                </c:pt>
                <c:pt idx="87">
                  <c:v>12.426285763023287</c:v>
                </c:pt>
                <c:pt idx="88">
                  <c:v>12.469823723874544</c:v>
                </c:pt>
                <c:pt idx="89">
                  <c:v>12.513361684725803</c:v>
                </c:pt>
                <c:pt idx="90">
                  <c:v>12.55689964557706</c:v>
                </c:pt>
                <c:pt idx="91">
                  <c:v>12.600437606428319</c:v>
                </c:pt>
                <c:pt idx="92">
                  <c:v>12.643975567279576</c:v>
                </c:pt>
                <c:pt idx="93">
                  <c:v>12.687513528130834</c:v>
                </c:pt>
                <c:pt idx="94">
                  <c:v>12.731051488982091</c:v>
                </c:pt>
                <c:pt idx="95">
                  <c:v>12.77458944983335</c:v>
                </c:pt>
                <c:pt idx="96">
                  <c:v>12.818127410684609</c:v>
                </c:pt>
                <c:pt idx="97">
                  <c:v>12.861665371535866</c:v>
                </c:pt>
                <c:pt idx="98">
                  <c:v>12.905203332387124</c:v>
                </c:pt>
                <c:pt idx="99">
                  <c:v>12.948741293238381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EE-497D-81C4-EC7C51D3A3E4}"/>
            </c:ext>
          </c:extLst>
        </c:ser>
        <c:ser>
          <c:idx val="2"/>
          <c:order val="2"/>
          <c:tx>
            <c:v>Tendencia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'H1-PIB por L'!$A$7:$A$106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cat>
          <c:val>
            <c:numRef>
              <c:f>'H1-PIB por L'!$F$7:$F$106</c:f>
              <c:numCache>
                <c:formatCode>#,##0.00</c:formatCode>
                <c:ptCount val="100"/>
                <c:pt idx="0">
                  <c:v>8.5692420070892474</c:v>
                </c:pt>
                <c:pt idx="1">
                  <c:v>8.6127799679405062</c:v>
                </c:pt>
                <c:pt idx="2">
                  <c:v>8.6563179287917631</c:v>
                </c:pt>
                <c:pt idx="3">
                  <c:v>8.6998558896430218</c:v>
                </c:pt>
                <c:pt idx="4">
                  <c:v>8.7433938504942805</c:v>
                </c:pt>
                <c:pt idx="5">
                  <c:v>8.7869318113455375</c:v>
                </c:pt>
                <c:pt idx="6">
                  <c:v>8.8304697721967962</c:v>
                </c:pt>
                <c:pt idx="7">
                  <c:v>8.8740077330480531</c:v>
                </c:pt>
                <c:pt idx="8">
                  <c:v>8.9175456938993118</c:v>
                </c:pt>
                <c:pt idx="9">
                  <c:v>8.9610836547505688</c:v>
                </c:pt>
                <c:pt idx="10">
                  <c:v>9.0046216156018275</c:v>
                </c:pt>
                <c:pt idx="11">
                  <c:v>9.0481595764530844</c:v>
                </c:pt>
                <c:pt idx="12">
                  <c:v>9.0916975373043432</c:v>
                </c:pt>
                <c:pt idx="13">
                  <c:v>9.1352354981556019</c:v>
                </c:pt>
                <c:pt idx="14">
                  <c:v>9.1787734590068588</c:v>
                </c:pt>
                <c:pt idx="15">
                  <c:v>9.2223114198581175</c:v>
                </c:pt>
                <c:pt idx="16">
                  <c:v>9.2658493807093745</c:v>
                </c:pt>
                <c:pt idx="17">
                  <c:v>9.3093873415606332</c:v>
                </c:pt>
                <c:pt idx="18">
                  <c:v>9.3529253024118901</c:v>
                </c:pt>
                <c:pt idx="19">
                  <c:v>9.3964632632631488</c:v>
                </c:pt>
                <c:pt idx="20">
                  <c:v>9.4400012241144058</c:v>
                </c:pt>
                <c:pt idx="21">
                  <c:v>9.4835391849656645</c:v>
                </c:pt>
                <c:pt idx="22">
                  <c:v>9.5270771458169214</c:v>
                </c:pt>
                <c:pt idx="23">
                  <c:v>9.5706151066681802</c:v>
                </c:pt>
                <c:pt idx="24">
                  <c:v>9.6141530675194389</c:v>
                </c:pt>
                <c:pt idx="25">
                  <c:v>9.6576910283706958</c:v>
                </c:pt>
                <c:pt idx="26">
                  <c:v>9.7012289892219545</c:v>
                </c:pt>
                <c:pt idx="27">
                  <c:v>9.7447669500732115</c:v>
                </c:pt>
                <c:pt idx="28">
                  <c:v>9.7883049109244702</c:v>
                </c:pt>
                <c:pt idx="29">
                  <c:v>9.8318428717757271</c:v>
                </c:pt>
                <c:pt idx="30">
                  <c:v>9.8753808326269858</c:v>
                </c:pt>
                <c:pt idx="31">
                  <c:v>9.9189187934782428</c:v>
                </c:pt>
                <c:pt idx="32">
                  <c:v>9.9624567543295015</c:v>
                </c:pt>
                <c:pt idx="33">
                  <c:v>10.00599471518076</c:v>
                </c:pt>
                <c:pt idx="34">
                  <c:v>10.049532676032017</c:v>
                </c:pt>
                <c:pt idx="35">
                  <c:v>10.093070636883276</c:v>
                </c:pt>
                <c:pt idx="36">
                  <c:v>10.136608597734533</c:v>
                </c:pt>
                <c:pt idx="37">
                  <c:v>10.180146558585792</c:v>
                </c:pt>
                <c:pt idx="38">
                  <c:v>10.223684519437048</c:v>
                </c:pt>
                <c:pt idx="39">
                  <c:v>10.267222480288307</c:v>
                </c:pt>
                <c:pt idx="40">
                  <c:v>10.310760441139564</c:v>
                </c:pt>
                <c:pt idx="41">
                  <c:v>10.354298401990823</c:v>
                </c:pt>
                <c:pt idx="42">
                  <c:v>10.39783636284208</c:v>
                </c:pt>
                <c:pt idx="43">
                  <c:v>10.441374323693339</c:v>
                </c:pt>
                <c:pt idx="44">
                  <c:v>10.484912284544597</c:v>
                </c:pt>
                <c:pt idx="45">
                  <c:v>10.528450245395854</c:v>
                </c:pt>
                <c:pt idx="46">
                  <c:v>10.571988206247113</c:v>
                </c:pt>
                <c:pt idx="47">
                  <c:v>10.61552616709837</c:v>
                </c:pt>
                <c:pt idx="48">
                  <c:v>10.659064127949629</c:v>
                </c:pt>
                <c:pt idx="49">
                  <c:v>10.702602088800885</c:v>
                </c:pt>
                <c:pt idx="50">
                  <c:v>10.746140049652144</c:v>
                </c:pt>
                <c:pt idx="51">
                  <c:v>10.789678010503403</c:v>
                </c:pt>
                <c:pt idx="52">
                  <c:v>10.83321597135466</c:v>
                </c:pt>
                <c:pt idx="53">
                  <c:v>10.876753932205919</c:v>
                </c:pt>
                <c:pt idx="54">
                  <c:v>10.920291893057176</c:v>
                </c:pt>
                <c:pt idx="55">
                  <c:v>10.963829853908434</c:v>
                </c:pt>
                <c:pt idx="56">
                  <c:v>11.007367814759691</c:v>
                </c:pt>
                <c:pt idx="57">
                  <c:v>11.05090577561095</c:v>
                </c:pt>
                <c:pt idx="58">
                  <c:v>11.094443736462207</c:v>
                </c:pt>
                <c:pt idx="59">
                  <c:v>11.137981697313466</c:v>
                </c:pt>
                <c:pt idx="60">
                  <c:v>11.181519658164724</c:v>
                </c:pt>
                <c:pt idx="61">
                  <c:v>11.225057619015981</c:v>
                </c:pt>
                <c:pt idx="62">
                  <c:v>11.26859557986724</c:v>
                </c:pt>
                <c:pt idx="63">
                  <c:v>11.312133540718497</c:v>
                </c:pt>
                <c:pt idx="64">
                  <c:v>11.355671501569756</c:v>
                </c:pt>
                <c:pt idx="65">
                  <c:v>11.399209462421013</c:v>
                </c:pt>
                <c:pt idx="66">
                  <c:v>11.442747423272271</c:v>
                </c:pt>
                <c:pt idx="67">
                  <c:v>11.48628538412353</c:v>
                </c:pt>
                <c:pt idx="68">
                  <c:v>11.529823344974787</c:v>
                </c:pt>
                <c:pt idx="69">
                  <c:v>11.573361305826046</c:v>
                </c:pt>
                <c:pt idx="70">
                  <c:v>11.616899266677303</c:v>
                </c:pt>
                <c:pt idx="71">
                  <c:v>11.660437227528561</c:v>
                </c:pt>
                <c:pt idx="72">
                  <c:v>11.703975188379818</c:v>
                </c:pt>
                <c:pt idx="73">
                  <c:v>11.816754311105679</c:v>
                </c:pt>
                <c:pt idx="74">
                  <c:v>11.860292271956929</c:v>
                </c:pt>
                <c:pt idx="75">
                  <c:v>11.90383023280819</c:v>
                </c:pt>
                <c:pt idx="76">
                  <c:v>11.94736819365945</c:v>
                </c:pt>
                <c:pt idx="77">
                  <c:v>11.990906154510711</c:v>
                </c:pt>
                <c:pt idx="78">
                  <c:v>12.034444115361961</c:v>
                </c:pt>
                <c:pt idx="79">
                  <c:v>12.077982076213219</c:v>
                </c:pt>
                <c:pt idx="80">
                  <c:v>12.12152003706448</c:v>
                </c:pt>
                <c:pt idx="81">
                  <c:v>12.16505799791574</c:v>
                </c:pt>
                <c:pt idx="82">
                  <c:v>12.208595958767001</c:v>
                </c:pt>
                <c:pt idx="83">
                  <c:v>12.252133919618251</c:v>
                </c:pt>
                <c:pt idx="84">
                  <c:v>12.295671880469509</c:v>
                </c:pt>
                <c:pt idx="85">
                  <c:v>12.33920984132077</c:v>
                </c:pt>
                <c:pt idx="86">
                  <c:v>12.38274780217203</c:v>
                </c:pt>
                <c:pt idx="87">
                  <c:v>12.42628576302328</c:v>
                </c:pt>
                <c:pt idx="88">
                  <c:v>12.469823723874541</c:v>
                </c:pt>
                <c:pt idx="89">
                  <c:v>12.513361684725799</c:v>
                </c:pt>
                <c:pt idx="90">
                  <c:v>12.55689964557706</c:v>
                </c:pt>
                <c:pt idx="91">
                  <c:v>12.60043760642832</c:v>
                </c:pt>
                <c:pt idx="92">
                  <c:v>12.643975567279581</c:v>
                </c:pt>
                <c:pt idx="93">
                  <c:v>12.687513528130831</c:v>
                </c:pt>
                <c:pt idx="94">
                  <c:v>12.731051488982089</c:v>
                </c:pt>
                <c:pt idx="95">
                  <c:v>12.77458944983335</c:v>
                </c:pt>
                <c:pt idx="96">
                  <c:v>12.81812741068461</c:v>
                </c:pt>
                <c:pt idx="97">
                  <c:v>12.861665371535871</c:v>
                </c:pt>
                <c:pt idx="98">
                  <c:v>12.905203332387121</c:v>
                </c:pt>
                <c:pt idx="99">
                  <c:v>12.948741293238379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FEE-497D-81C4-EC7C51D3A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9086720"/>
        <c:axId val="1529102080"/>
      </c:lineChart>
      <c:catAx>
        <c:axId val="152908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102080"/>
        <c:crosses val="autoZero"/>
        <c:auto val="1"/>
        <c:lblAlgn val="ctr"/>
        <c:lblOffset val="100"/>
        <c:tickLblSkip val="10"/>
        <c:noMultiLvlLbl val="0"/>
      </c:catAx>
      <c:valAx>
        <c:axId val="1529102080"/>
        <c:scaling>
          <c:orientation val="minMax"/>
          <c:min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08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K/L</a:t>
            </a:r>
            <a:r>
              <a:rPr lang="en-US" sz="1000" b="1" baseline="0"/>
              <a:t> - Taiwan 1951 - 2050 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K/Y empirico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'H2-Capital por L'!$A$7:$A$106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cat>
          <c:val>
            <c:numRef>
              <c:f>'H2-Capital por L'!$C$7:$C$106</c:f>
              <c:numCache>
                <c:formatCode>#,##0.00</c:formatCode>
                <c:ptCount val="100"/>
                <c:pt idx="0">
                  <c:v>9.7295987679735703</c:v>
                </c:pt>
                <c:pt idx="1">
                  <c:v>9.7347940338566321</c:v>
                </c:pt>
                <c:pt idx="2">
                  <c:v>9.7579330317491664</c:v>
                </c:pt>
                <c:pt idx="3">
                  <c:v>9.7797527154421289</c:v>
                </c:pt>
                <c:pt idx="4">
                  <c:v>9.7858649508805087</c:v>
                </c:pt>
                <c:pt idx="5">
                  <c:v>9.8029815943484451</c:v>
                </c:pt>
                <c:pt idx="6">
                  <c:v>9.8183585349060252</c:v>
                </c:pt>
                <c:pt idx="7">
                  <c:v>9.8425721897138168</c:v>
                </c:pt>
                <c:pt idx="8">
                  <c:v>9.8778741325365829</c:v>
                </c:pt>
                <c:pt idx="9">
                  <c:v>9.92395651745408</c:v>
                </c:pt>
                <c:pt idx="10">
                  <c:v>9.9603009221520686</c:v>
                </c:pt>
                <c:pt idx="11">
                  <c:v>9.9932615991963463</c:v>
                </c:pt>
                <c:pt idx="12">
                  <c:v>10.036287242032188</c:v>
                </c:pt>
                <c:pt idx="13">
                  <c:v>10.10234972886914</c:v>
                </c:pt>
                <c:pt idx="14">
                  <c:v>10.196372877755826</c:v>
                </c:pt>
                <c:pt idx="15">
                  <c:v>10.285808461638357</c:v>
                </c:pt>
                <c:pt idx="16">
                  <c:v>10.361419670018128</c:v>
                </c:pt>
                <c:pt idx="17">
                  <c:v>10.452017929050271</c:v>
                </c:pt>
                <c:pt idx="18">
                  <c:v>10.541964287692972</c:v>
                </c:pt>
                <c:pt idx="19">
                  <c:v>10.632868309439891</c:v>
                </c:pt>
                <c:pt idx="20">
                  <c:v>10.742196667753246</c:v>
                </c:pt>
                <c:pt idx="21">
                  <c:v>10.843641705617205</c:v>
                </c:pt>
                <c:pt idx="22">
                  <c:v>10.907015968312987</c:v>
                </c:pt>
                <c:pt idx="23">
                  <c:v>11.010291437177063</c:v>
                </c:pt>
                <c:pt idx="24">
                  <c:v>11.140156428035228</c:v>
                </c:pt>
                <c:pt idx="25">
                  <c:v>11.230527959922437</c:v>
                </c:pt>
                <c:pt idx="26">
                  <c:v>11.278713336545879</c:v>
                </c:pt>
                <c:pt idx="27">
                  <c:v>11.341717905999152</c:v>
                </c:pt>
                <c:pt idx="28">
                  <c:v>11.418706196875243</c:v>
                </c:pt>
                <c:pt idx="29">
                  <c:v>11.515658772615058</c:v>
                </c:pt>
                <c:pt idx="30">
                  <c:v>11.600178383091828</c:v>
                </c:pt>
                <c:pt idx="31">
                  <c:v>11.664165401659368</c:v>
                </c:pt>
                <c:pt idx="32">
                  <c:v>11.700202096944103</c:v>
                </c:pt>
                <c:pt idx="33">
                  <c:v>11.741522412247146</c:v>
                </c:pt>
                <c:pt idx="34">
                  <c:v>11.784593989558818</c:v>
                </c:pt>
                <c:pt idx="35">
                  <c:v>11.808841811113375</c:v>
                </c:pt>
                <c:pt idx="36">
                  <c:v>11.857971517057932</c:v>
                </c:pt>
                <c:pt idx="37">
                  <c:v>11.935289953097302</c:v>
                </c:pt>
                <c:pt idx="38">
                  <c:v>12.010462868419461</c:v>
                </c:pt>
                <c:pt idx="39">
                  <c:v>12.099896812786739</c:v>
                </c:pt>
                <c:pt idx="40">
                  <c:v>12.17779348141576</c:v>
                </c:pt>
                <c:pt idx="41">
                  <c:v>12.248050774605295</c:v>
                </c:pt>
                <c:pt idx="42">
                  <c:v>12.32851306361291</c:v>
                </c:pt>
                <c:pt idx="43">
                  <c:v>12.397709807421837</c:v>
                </c:pt>
                <c:pt idx="44">
                  <c:v>12.475082108592677</c:v>
                </c:pt>
                <c:pt idx="45">
                  <c:v>12.563440664061805</c:v>
                </c:pt>
                <c:pt idx="46">
                  <c:v>12.629813709680368</c:v>
                </c:pt>
                <c:pt idx="47">
                  <c:v>12.701873714144842</c:v>
                </c:pt>
                <c:pt idx="48">
                  <c:v>12.767482125030416</c:v>
                </c:pt>
                <c:pt idx="49">
                  <c:v>12.819743623028659</c:v>
                </c:pt>
                <c:pt idx="50">
                  <c:v>12.879458402828657</c:v>
                </c:pt>
                <c:pt idx="51">
                  <c:v>12.905018781476237</c:v>
                </c:pt>
                <c:pt idx="52">
                  <c:v>12.92345361672926</c:v>
                </c:pt>
                <c:pt idx="53">
                  <c:v>12.940005110108403</c:v>
                </c:pt>
                <c:pt idx="54">
                  <c:v>12.958408860871657</c:v>
                </c:pt>
                <c:pt idx="55">
                  <c:v>12.973478488886123</c:v>
                </c:pt>
                <c:pt idx="56">
                  <c:v>12.98555095631337</c:v>
                </c:pt>
                <c:pt idx="57">
                  <c:v>12.992315094298606</c:v>
                </c:pt>
                <c:pt idx="58">
                  <c:v>13.013334304378182</c:v>
                </c:pt>
                <c:pt idx="59">
                  <c:v>13.014001857723674</c:v>
                </c:pt>
                <c:pt idx="60">
                  <c:v>13.011723278529418</c:v>
                </c:pt>
                <c:pt idx="61">
                  <c:v>13.013312308148096</c:v>
                </c:pt>
                <c:pt idx="62">
                  <c:v>13.022454861221425</c:v>
                </c:pt>
                <c:pt idx="63">
                  <c:v>13.032233651651982</c:v>
                </c:pt>
                <c:pt idx="64">
                  <c:v>13.041036013452999</c:v>
                </c:pt>
                <c:pt idx="65">
                  <c:v>13.055321141815202</c:v>
                </c:pt>
                <c:pt idx="66">
                  <c:v>13.066213491898599</c:v>
                </c:pt>
                <c:pt idx="67">
                  <c:v>13.077931957943521</c:v>
                </c:pt>
                <c:pt idx="68">
                  <c:v>13.097530713702911</c:v>
                </c:pt>
                <c:pt idx="69">
                  <c:v>13.124334945320161</c:v>
                </c:pt>
                <c:pt idx="70">
                  <c:v>13.152296895000214</c:v>
                </c:pt>
                <c:pt idx="71">
                  <c:v>13.177081249229078</c:v>
                </c:pt>
                <c:pt idx="72">
                  <c:v>13.204823463830316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29-4670-8B57-FA0CBB556E22}"/>
            </c:ext>
          </c:extLst>
        </c:ser>
        <c:ser>
          <c:idx val="1"/>
          <c:order val="1"/>
          <c:tx>
            <c:v>K/Y proyección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'H2-Capital por L'!$A$7:$A$106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cat>
          <c:val>
            <c:numRef>
              <c:f>'H2-Capital por L'!$D$7:$D$106</c:f>
              <c:numCache>
                <c:formatCode>#,##0.00</c:formatCode>
                <c:ptCount val="100"/>
                <c:pt idx="72">
                  <c:v>13.204823463830316</c:v>
                </c:pt>
                <c:pt idx="73">
                  <c:v>13.251961797492585</c:v>
                </c:pt>
                <c:pt idx="74">
                  <c:v>13.299100131154857</c:v>
                </c:pt>
                <c:pt idx="75">
                  <c:v>13.346238464817127</c:v>
                </c:pt>
                <c:pt idx="76">
                  <c:v>13.393376798479396</c:v>
                </c:pt>
                <c:pt idx="77">
                  <c:v>13.440515132141666</c:v>
                </c:pt>
                <c:pt idx="78">
                  <c:v>13.487653465803936</c:v>
                </c:pt>
                <c:pt idx="79">
                  <c:v>13.534791799466205</c:v>
                </c:pt>
                <c:pt idx="80">
                  <c:v>13.581930133128475</c:v>
                </c:pt>
                <c:pt idx="81">
                  <c:v>13.629068466790745</c:v>
                </c:pt>
                <c:pt idx="82">
                  <c:v>13.676206800453016</c:v>
                </c:pt>
                <c:pt idx="83">
                  <c:v>13.723345134115286</c:v>
                </c:pt>
                <c:pt idx="84">
                  <c:v>13.770483467777556</c:v>
                </c:pt>
                <c:pt idx="85">
                  <c:v>13.817621801439826</c:v>
                </c:pt>
                <c:pt idx="86">
                  <c:v>13.864760135102095</c:v>
                </c:pt>
                <c:pt idx="87">
                  <c:v>13.911898468764365</c:v>
                </c:pt>
                <c:pt idx="88">
                  <c:v>13.959036802426635</c:v>
                </c:pt>
                <c:pt idx="89">
                  <c:v>14.006175136088906</c:v>
                </c:pt>
                <c:pt idx="90">
                  <c:v>14.053313469751176</c:v>
                </c:pt>
                <c:pt idx="91">
                  <c:v>14.100451803413446</c:v>
                </c:pt>
                <c:pt idx="92">
                  <c:v>14.147590137075715</c:v>
                </c:pt>
                <c:pt idx="93">
                  <c:v>14.194728470737985</c:v>
                </c:pt>
                <c:pt idx="94">
                  <c:v>14.241866804400255</c:v>
                </c:pt>
                <c:pt idx="95">
                  <c:v>14.289005138062524</c:v>
                </c:pt>
                <c:pt idx="96">
                  <c:v>14.336143471724794</c:v>
                </c:pt>
                <c:pt idx="97">
                  <c:v>14.383281805387066</c:v>
                </c:pt>
                <c:pt idx="98">
                  <c:v>14.430420139049335</c:v>
                </c:pt>
                <c:pt idx="99">
                  <c:v>14.477558472711605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29-4670-8B57-FA0CBB556E22}"/>
            </c:ext>
          </c:extLst>
        </c:ser>
        <c:ser>
          <c:idx val="2"/>
          <c:order val="2"/>
          <c:tx>
            <c:v>Tendencia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'H2-Capital por L'!$A$7:$A$106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cat>
          <c:val>
            <c:numRef>
              <c:f>'H2-Capital por L'!$F$7:$F$106</c:f>
              <c:numCache>
                <c:formatCode>#,##0.00</c:formatCode>
                <c:ptCount val="100"/>
                <c:pt idx="0">
                  <c:v>9.7295987679735703</c:v>
                </c:pt>
                <c:pt idx="1">
                  <c:v>9.77673710163584</c:v>
                </c:pt>
                <c:pt idx="2">
                  <c:v>9.8238754352981115</c:v>
                </c:pt>
                <c:pt idx="3">
                  <c:v>9.8710137689603812</c:v>
                </c:pt>
                <c:pt idx="4">
                  <c:v>9.9181521026226509</c:v>
                </c:pt>
                <c:pt idx="5">
                  <c:v>9.9652904362849206</c:v>
                </c:pt>
                <c:pt idx="6">
                  <c:v>10.01242876994719</c:v>
                </c:pt>
                <c:pt idx="7">
                  <c:v>10.05956710360946</c:v>
                </c:pt>
                <c:pt idx="8">
                  <c:v>10.106705437271732</c:v>
                </c:pt>
                <c:pt idx="9">
                  <c:v>10.153843770934001</c:v>
                </c:pt>
                <c:pt idx="10">
                  <c:v>10.200982104596271</c:v>
                </c:pt>
                <c:pt idx="11">
                  <c:v>10.248120438258541</c:v>
                </c:pt>
                <c:pt idx="12">
                  <c:v>10.29525877192081</c:v>
                </c:pt>
                <c:pt idx="13">
                  <c:v>10.34239710558308</c:v>
                </c:pt>
                <c:pt idx="14">
                  <c:v>10.38953543924535</c:v>
                </c:pt>
                <c:pt idx="15">
                  <c:v>10.43667377290762</c:v>
                </c:pt>
                <c:pt idx="16">
                  <c:v>10.483812106569889</c:v>
                </c:pt>
                <c:pt idx="17">
                  <c:v>10.530950440232161</c:v>
                </c:pt>
                <c:pt idx="18">
                  <c:v>10.57808877389443</c:v>
                </c:pt>
                <c:pt idx="19">
                  <c:v>10.6252271075567</c:v>
                </c:pt>
                <c:pt idx="20">
                  <c:v>10.67236544121897</c:v>
                </c:pt>
                <c:pt idx="21">
                  <c:v>10.71950377488124</c:v>
                </c:pt>
                <c:pt idx="22">
                  <c:v>10.766642108543509</c:v>
                </c:pt>
                <c:pt idx="23">
                  <c:v>10.813780442205781</c:v>
                </c:pt>
                <c:pt idx="24">
                  <c:v>10.860918775868051</c:v>
                </c:pt>
                <c:pt idx="25">
                  <c:v>10.90805710953032</c:v>
                </c:pt>
                <c:pt idx="26">
                  <c:v>10.95519544319259</c:v>
                </c:pt>
                <c:pt idx="27">
                  <c:v>11.00233377685486</c:v>
                </c:pt>
                <c:pt idx="28">
                  <c:v>11.049472110517129</c:v>
                </c:pt>
                <c:pt idx="29">
                  <c:v>11.096610444179399</c:v>
                </c:pt>
                <c:pt idx="30">
                  <c:v>11.143748777841671</c:v>
                </c:pt>
                <c:pt idx="31">
                  <c:v>11.19088711150394</c:v>
                </c:pt>
                <c:pt idx="32">
                  <c:v>11.23802544516621</c:v>
                </c:pt>
                <c:pt idx="33">
                  <c:v>11.28516377882848</c:v>
                </c:pt>
                <c:pt idx="34">
                  <c:v>11.332302112490749</c:v>
                </c:pt>
                <c:pt idx="35">
                  <c:v>11.379440446153019</c:v>
                </c:pt>
                <c:pt idx="36">
                  <c:v>11.426578779815289</c:v>
                </c:pt>
                <c:pt idx="37">
                  <c:v>11.473717113477559</c:v>
                </c:pt>
                <c:pt idx="38">
                  <c:v>11.52085544713983</c:v>
                </c:pt>
                <c:pt idx="39">
                  <c:v>11.5679937808021</c:v>
                </c:pt>
                <c:pt idx="40">
                  <c:v>11.61513211446437</c:v>
                </c:pt>
                <c:pt idx="41">
                  <c:v>11.662270448126639</c:v>
                </c:pt>
                <c:pt idx="42">
                  <c:v>11.709408781788909</c:v>
                </c:pt>
                <c:pt idx="43">
                  <c:v>11.756547115451179</c:v>
                </c:pt>
                <c:pt idx="44">
                  <c:v>11.803685449113448</c:v>
                </c:pt>
                <c:pt idx="45">
                  <c:v>11.850823782775718</c:v>
                </c:pt>
                <c:pt idx="46">
                  <c:v>11.89796211643799</c:v>
                </c:pt>
                <c:pt idx="47">
                  <c:v>11.945100450100259</c:v>
                </c:pt>
                <c:pt idx="48">
                  <c:v>11.992238783762529</c:v>
                </c:pt>
                <c:pt idx="49">
                  <c:v>12.039377117424799</c:v>
                </c:pt>
                <c:pt idx="50">
                  <c:v>12.086515451087068</c:v>
                </c:pt>
                <c:pt idx="51">
                  <c:v>12.133653784749338</c:v>
                </c:pt>
                <c:pt idx="52">
                  <c:v>12.180792118411608</c:v>
                </c:pt>
                <c:pt idx="53">
                  <c:v>12.227930452073879</c:v>
                </c:pt>
                <c:pt idx="54">
                  <c:v>12.275068785736149</c:v>
                </c:pt>
                <c:pt idx="55">
                  <c:v>12.322207119398419</c:v>
                </c:pt>
                <c:pt idx="56">
                  <c:v>12.369345453060689</c:v>
                </c:pt>
                <c:pt idx="57">
                  <c:v>12.416483786722958</c:v>
                </c:pt>
                <c:pt idx="58">
                  <c:v>12.463622120385228</c:v>
                </c:pt>
                <c:pt idx="59">
                  <c:v>12.510760454047498</c:v>
                </c:pt>
                <c:pt idx="60">
                  <c:v>12.557898787709767</c:v>
                </c:pt>
                <c:pt idx="61">
                  <c:v>12.605037121372039</c:v>
                </c:pt>
                <c:pt idx="62">
                  <c:v>12.652175455034309</c:v>
                </c:pt>
                <c:pt idx="63">
                  <c:v>12.699313788696578</c:v>
                </c:pt>
                <c:pt idx="64">
                  <c:v>12.746452122358848</c:v>
                </c:pt>
                <c:pt idx="65">
                  <c:v>12.793590456021118</c:v>
                </c:pt>
                <c:pt idx="66">
                  <c:v>12.840728789683387</c:v>
                </c:pt>
                <c:pt idx="67">
                  <c:v>12.887867123345657</c:v>
                </c:pt>
                <c:pt idx="68">
                  <c:v>12.935005457007927</c:v>
                </c:pt>
                <c:pt idx="69">
                  <c:v>12.982143790670198</c:v>
                </c:pt>
                <c:pt idx="70">
                  <c:v>13.029282124332468</c:v>
                </c:pt>
                <c:pt idx="71">
                  <c:v>13.076420457994738</c:v>
                </c:pt>
                <c:pt idx="72">
                  <c:v>13.123558791657008</c:v>
                </c:pt>
                <c:pt idx="73">
                  <c:v>13.170697125319277</c:v>
                </c:pt>
                <c:pt idx="74">
                  <c:v>13.217835458981547</c:v>
                </c:pt>
                <c:pt idx="75">
                  <c:v>13.264973792643818</c:v>
                </c:pt>
                <c:pt idx="76">
                  <c:v>13.312112126306088</c:v>
                </c:pt>
                <c:pt idx="77">
                  <c:v>13.359250459968358</c:v>
                </c:pt>
                <c:pt idx="78">
                  <c:v>13.406388793630628</c:v>
                </c:pt>
                <c:pt idx="79">
                  <c:v>13.453527127292897</c:v>
                </c:pt>
                <c:pt idx="80">
                  <c:v>13.500665460955167</c:v>
                </c:pt>
                <c:pt idx="81">
                  <c:v>13.547803794617437</c:v>
                </c:pt>
                <c:pt idx="82">
                  <c:v>13.594942128279708</c:v>
                </c:pt>
                <c:pt idx="83">
                  <c:v>13.642080461941978</c:v>
                </c:pt>
                <c:pt idx="84">
                  <c:v>13.689218795604248</c:v>
                </c:pt>
                <c:pt idx="85">
                  <c:v>13.736357129266517</c:v>
                </c:pt>
                <c:pt idx="86">
                  <c:v>13.783495462928787</c:v>
                </c:pt>
                <c:pt idx="87">
                  <c:v>13.830633796591057</c:v>
                </c:pt>
                <c:pt idx="88">
                  <c:v>13.877772130253327</c:v>
                </c:pt>
                <c:pt idx="89">
                  <c:v>13.924910463915596</c:v>
                </c:pt>
                <c:pt idx="90">
                  <c:v>13.972048797577868</c:v>
                </c:pt>
                <c:pt idx="91">
                  <c:v>14.019187131240137</c:v>
                </c:pt>
                <c:pt idx="92">
                  <c:v>14.066325464902407</c:v>
                </c:pt>
                <c:pt idx="93">
                  <c:v>14.113463798564677</c:v>
                </c:pt>
                <c:pt idx="94">
                  <c:v>14.160602132226947</c:v>
                </c:pt>
                <c:pt idx="95">
                  <c:v>14.207740465889216</c:v>
                </c:pt>
                <c:pt idx="96">
                  <c:v>14.254878799551486</c:v>
                </c:pt>
                <c:pt idx="97">
                  <c:v>14.302017133213758</c:v>
                </c:pt>
                <c:pt idx="98">
                  <c:v>14.349155466876027</c:v>
                </c:pt>
                <c:pt idx="99">
                  <c:v>14.396293800538297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29-4670-8B57-FA0CBB556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926752"/>
        <c:axId val="1700908032"/>
      </c:lineChart>
      <c:catAx>
        <c:axId val="170092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908032"/>
        <c:crosses val="autoZero"/>
        <c:auto val="1"/>
        <c:lblAlgn val="ctr"/>
        <c:lblOffset val="100"/>
        <c:tickLblSkip val="10"/>
        <c:noMultiLvlLbl val="0"/>
      </c:catAx>
      <c:valAx>
        <c:axId val="1700908032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92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K/Y</a:t>
            </a:r>
            <a:r>
              <a:rPr lang="en-US" sz="1000" b="1" baseline="0"/>
              <a:t> - Taiwan 1951 - 2050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K/Y 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'H3-K sobre Y'!$A$7:$A$106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cat>
          <c:val>
            <c:numRef>
              <c:f>'H3-K sobre Y'!$B$7:$B$106</c:f>
              <c:numCache>
                <c:formatCode>0.000</c:formatCode>
                <c:ptCount val="100"/>
                <c:pt idx="0">
                  <c:v>3.191071522561534</c:v>
                </c:pt>
                <c:pt idx="1">
                  <c:v>2.8114396551386278</c:v>
                </c:pt>
                <c:pt idx="2">
                  <c:v>2.6743461625337721</c:v>
                </c:pt>
                <c:pt idx="3">
                  <c:v>2.606053576694455</c:v>
                </c:pt>
                <c:pt idx="4">
                  <c:v>2.503745214350789</c:v>
                </c:pt>
                <c:pt idx="5">
                  <c:v>2.4609839330731549</c:v>
                </c:pt>
                <c:pt idx="6">
                  <c:v>2.353654956828847</c:v>
                </c:pt>
                <c:pt idx="7">
                  <c:v>2.3129493334983771</c:v>
                </c:pt>
                <c:pt idx="8">
                  <c:v>2.2967338917990401</c:v>
                </c:pt>
                <c:pt idx="9">
                  <c:v>2.290475491595088</c:v>
                </c:pt>
                <c:pt idx="10">
                  <c:v>2.253383895537755</c:v>
                </c:pt>
                <c:pt idx="11">
                  <c:v>2.2122122719741859</c:v>
                </c:pt>
                <c:pt idx="12">
                  <c:v>2.118318358756929</c:v>
                </c:pt>
                <c:pt idx="13">
                  <c:v>1.999841030472072</c:v>
                </c:pt>
                <c:pt idx="14">
                  <c:v>2.0138677425757581</c:v>
                </c:pt>
                <c:pt idx="15">
                  <c:v>2.060630159534333</c:v>
                </c:pt>
                <c:pt idx="16">
                  <c:v>2.0824300414493839</c:v>
                </c:pt>
                <c:pt idx="17">
                  <c:v>2.141057986886064</c:v>
                </c:pt>
                <c:pt idx="18">
                  <c:v>2.1816995137676729</c:v>
                </c:pt>
                <c:pt idx="19">
                  <c:v>2.1838741065628602</c:v>
                </c:pt>
                <c:pt idx="20">
                  <c:v>2.2051846960293511</c:v>
                </c:pt>
                <c:pt idx="21">
                  <c:v>2.2055265363730032</c:v>
                </c:pt>
                <c:pt idx="22">
                  <c:v>2.245357204853148</c:v>
                </c:pt>
                <c:pt idx="23">
                  <c:v>2.6299489223238539</c:v>
                </c:pt>
                <c:pt idx="24">
                  <c:v>2.9175891951373072</c:v>
                </c:pt>
                <c:pt idx="25">
                  <c:v>2.76666570782564</c:v>
                </c:pt>
                <c:pt idx="26">
                  <c:v>2.7892315485166419</c:v>
                </c:pt>
                <c:pt idx="27">
                  <c:v>2.7406522533142739</c:v>
                </c:pt>
                <c:pt idx="28">
                  <c:v>2.851794116768271</c:v>
                </c:pt>
                <c:pt idx="29">
                  <c:v>3.0482947209272462</c:v>
                </c:pt>
                <c:pt idx="30">
                  <c:v>3.162129202472308</c:v>
                </c:pt>
                <c:pt idx="31">
                  <c:v>3.2892328869131569</c:v>
                </c:pt>
                <c:pt idx="32">
                  <c:v>3.262920355241222</c:v>
                </c:pt>
                <c:pt idx="33">
                  <c:v>3.2182778082726009</c:v>
                </c:pt>
                <c:pt idx="34">
                  <c:v>3.2664380899002849</c:v>
                </c:pt>
                <c:pt idx="35">
                  <c:v>3.068259693936001</c:v>
                </c:pt>
                <c:pt idx="36">
                  <c:v>3.0084123029541212</c:v>
                </c:pt>
                <c:pt idx="37">
                  <c:v>3.1123654277061021</c:v>
                </c:pt>
                <c:pt idx="38">
                  <c:v>3.13164606058122</c:v>
                </c:pt>
                <c:pt idx="39">
                  <c:v>3.246896927285337</c:v>
                </c:pt>
                <c:pt idx="40">
                  <c:v>3.2799424112154272</c:v>
                </c:pt>
                <c:pt idx="41">
                  <c:v>3.3706994100706522</c:v>
                </c:pt>
                <c:pt idx="42">
                  <c:v>3.464985596099083</c:v>
                </c:pt>
                <c:pt idx="43">
                  <c:v>3.5514448267099978</c:v>
                </c:pt>
                <c:pt idx="44">
                  <c:v>3.6672281689928732</c:v>
                </c:pt>
                <c:pt idx="45">
                  <c:v>3.691097581256785</c:v>
                </c:pt>
                <c:pt idx="46">
                  <c:v>3.7422982386574</c:v>
                </c:pt>
                <c:pt idx="47">
                  <c:v>3.8233358034276779</c:v>
                </c:pt>
                <c:pt idx="48">
                  <c:v>3.9313118630852268</c:v>
                </c:pt>
                <c:pt idx="49">
                  <c:v>4.0332890346045396</c:v>
                </c:pt>
                <c:pt idx="50">
                  <c:v>4.245905260411015</c:v>
                </c:pt>
                <c:pt idx="51">
                  <c:v>4.2006942271475456</c:v>
                </c:pt>
                <c:pt idx="52">
                  <c:v>4.2408781516372622</c:v>
                </c:pt>
                <c:pt idx="53">
                  <c:v>4.2592189356195389</c:v>
                </c:pt>
                <c:pt idx="54">
                  <c:v>4.2833423494811758</c:v>
                </c:pt>
                <c:pt idx="55">
                  <c:v>4.2786528906138948</c:v>
                </c:pt>
                <c:pt idx="56">
                  <c:v>4.1991292652179411</c:v>
                </c:pt>
                <c:pt idx="57">
                  <c:v>4.4634090156570121</c:v>
                </c:pt>
                <c:pt idx="58">
                  <c:v>4.4891328032188476</c:v>
                </c:pt>
                <c:pt idx="59">
                  <c:v>4.2205111527933701</c:v>
                </c:pt>
                <c:pt idx="60">
                  <c:v>4.233226283006065</c:v>
                </c:pt>
                <c:pt idx="61">
                  <c:v>4.1724773849882251</c:v>
                </c:pt>
                <c:pt idx="62">
                  <c:v>4.2225597870767313</c:v>
                </c:pt>
                <c:pt idx="63">
                  <c:v>4.1737642854389474</c:v>
                </c:pt>
                <c:pt idx="64">
                  <c:v>4.1101292711522959</c:v>
                </c:pt>
                <c:pt idx="65">
                  <c:v>4.2063260853488273</c:v>
                </c:pt>
                <c:pt idx="66">
                  <c:v>4.2650496009665826</c:v>
                </c:pt>
                <c:pt idx="67">
                  <c:v>4.3520263459942923</c:v>
                </c:pt>
                <c:pt idx="68">
                  <c:v>4.3117088224452953</c:v>
                </c:pt>
                <c:pt idx="69">
                  <c:v>4.1581647616488073</c:v>
                </c:pt>
                <c:pt idx="70">
                  <c:v>4.0894606277543417</c:v>
                </c:pt>
                <c:pt idx="71">
                  <c:v>4.1591172916157104</c:v>
                </c:pt>
                <c:pt idx="72">
                  <c:v>4.1854202354177064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02-4248-808B-F3C0DF6E9E14}"/>
            </c:ext>
          </c:extLst>
        </c:ser>
        <c:ser>
          <c:idx val="1"/>
          <c:order val="1"/>
          <c:tx>
            <c:v>K/Y proyección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'H3-K sobre Y'!$A$7:$A$106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cat>
          <c:val>
            <c:numRef>
              <c:f>'H3-K sobre Y'!$C$7:$C$106</c:f>
              <c:numCache>
                <c:formatCode>0.000</c:formatCode>
                <c:ptCount val="100"/>
                <c:pt idx="72">
                  <c:v>4.1854202354177064</c:v>
                </c:pt>
                <c:pt idx="73">
                  <c:v>4.2011882453485327</c:v>
                </c:pt>
                <c:pt idx="74">
                  <c:v>4.2170156591440113</c:v>
                </c:pt>
                <c:pt idx="75">
                  <c:v>4.2329027006002429</c:v>
                </c:pt>
                <c:pt idx="76">
                  <c:v>4.2488495943564502</c:v>
                </c:pt>
                <c:pt idx="77">
                  <c:v>4.2648565658981532</c:v>
                </c:pt>
                <c:pt idx="78">
                  <c:v>4.2809238415603597</c:v>
                </c:pt>
                <c:pt idx="79">
                  <c:v>4.2970516485307622</c:v>
                </c:pt>
                <c:pt idx="80">
                  <c:v>4.3132402148529545</c:v>
                </c:pt>
                <c:pt idx="81">
                  <c:v>4.3294897694296539</c:v>
                </c:pt>
                <c:pt idx="82">
                  <c:v>4.3458005420259367</c:v>
                </c:pt>
                <c:pt idx="83">
                  <c:v>4.3621727632724889</c:v>
                </c:pt>
                <c:pt idx="84">
                  <c:v>4.3786066646688671</c:v>
                </c:pt>
                <c:pt idx="85">
                  <c:v>4.3951024785867707</c:v>
                </c:pt>
                <c:pt idx="86">
                  <c:v>4.41166043827333</c:v>
                </c:pt>
                <c:pt idx="87">
                  <c:v>4.4282807778544004</c:v>
                </c:pt>
                <c:pt idx="88">
                  <c:v>4.444963732337877</c:v>
                </c:pt>
                <c:pt idx="89">
                  <c:v>4.4617095376170139</c:v>
                </c:pt>
                <c:pt idx="90">
                  <c:v>4.4785184304737635</c:v>
                </c:pt>
                <c:pt idx="91">
                  <c:v>4.4953906485821209</c:v>
                </c:pt>
                <c:pt idx="92">
                  <c:v>4.5123264305114859</c:v>
                </c:pt>
                <c:pt idx="93">
                  <c:v>4.5293260157300379</c:v>
                </c:pt>
                <c:pt idx="94">
                  <c:v>4.5463896446081193</c:v>
                </c:pt>
                <c:pt idx="95">
                  <c:v>4.563517558421637</c:v>
                </c:pt>
                <c:pt idx="96">
                  <c:v>4.580709999355471</c:v>
                </c:pt>
                <c:pt idx="97">
                  <c:v>4.5979672105069014</c:v>
                </c:pt>
                <c:pt idx="98">
                  <c:v>4.6152894358890437</c:v>
                </c:pt>
                <c:pt idx="99">
                  <c:v>4.6326769204343021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02-4248-808B-F3C0DF6E9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836992"/>
        <c:axId val="1700812032"/>
      </c:lineChart>
      <c:catAx>
        <c:axId val="170083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12032"/>
        <c:crosses val="autoZero"/>
        <c:auto val="1"/>
        <c:lblAlgn val="ctr"/>
        <c:lblOffset val="100"/>
        <c:tickLblSkip val="10"/>
        <c:noMultiLvlLbl val="0"/>
      </c:catAx>
      <c:valAx>
        <c:axId val="170081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3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Labsh</a:t>
            </a:r>
            <a:r>
              <a:rPr lang="en-US" sz="1000" b="1" baseline="0"/>
              <a:t> - Taiwan 1951 - 2050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Labsh empirico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'H4-Labsh'!$A$7:$A$106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cat>
          <c:val>
            <c:numRef>
              <c:f>'H4-Labsh'!$B$7:$B$106</c:f>
              <c:numCache>
                <c:formatCode>0.0%</c:formatCode>
                <c:ptCount val="100"/>
                <c:pt idx="0">
                  <c:v>0.746274173259735</c:v>
                </c:pt>
                <c:pt idx="1">
                  <c:v>0.746274173259735</c:v>
                </c:pt>
                <c:pt idx="2">
                  <c:v>0.746274173259735</c:v>
                </c:pt>
                <c:pt idx="3">
                  <c:v>0.746274173259735</c:v>
                </c:pt>
                <c:pt idx="4">
                  <c:v>0.746274173259735</c:v>
                </c:pt>
                <c:pt idx="5">
                  <c:v>0.746274173259735</c:v>
                </c:pt>
                <c:pt idx="6">
                  <c:v>0.746274173259735</c:v>
                </c:pt>
                <c:pt idx="7">
                  <c:v>0.746274173259735</c:v>
                </c:pt>
                <c:pt idx="8">
                  <c:v>0.746274173259735</c:v>
                </c:pt>
                <c:pt idx="9">
                  <c:v>0.746274173259735</c:v>
                </c:pt>
                <c:pt idx="10">
                  <c:v>0.746274173259735</c:v>
                </c:pt>
                <c:pt idx="11">
                  <c:v>0.746274173259735</c:v>
                </c:pt>
                <c:pt idx="12">
                  <c:v>0.746274173259735</c:v>
                </c:pt>
                <c:pt idx="13">
                  <c:v>0.746274173259735</c:v>
                </c:pt>
                <c:pt idx="14">
                  <c:v>0.746274173259735</c:v>
                </c:pt>
                <c:pt idx="15">
                  <c:v>0.746274173259735</c:v>
                </c:pt>
                <c:pt idx="16">
                  <c:v>0.746274173259735</c:v>
                </c:pt>
                <c:pt idx="17">
                  <c:v>0.746274173259735</c:v>
                </c:pt>
                <c:pt idx="18">
                  <c:v>0.746274173259735</c:v>
                </c:pt>
                <c:pt idx="19">
                  <c:v>0.746274173259735</c:v>
                </c:pt>
                <c:pt idx="20">
                  <c:v>0.746274173259735</c:v>
                </c:pt>
                <c:pt idx="21">
                  <c:v>0.746274173259735</c:v>
                </c:pt>
                <c:pt idx="22">
                  <c:v>0.746274173259735</c:v>
                </c:pt>
                <c:pt idx="23">
                  <c:v>0.746274173259735</c:v>
                </c:pt>
                <c:pt idx="24">
                  <c:v>0.746274173259735</c:v>
                </c:pt>
                <c:pt idx="25">
                  <c:v>0.746274173259735</c:v>
                </c:pt>
                <c:pt idx="26">
                  <c:v>0.746274173259735</c:v>
                </c:pt>
                <c:pt idx="27">
                  <c:v>0.746274173259735</c:v>
                </c:pt>
                <c:pt idx="28">
                  <c:v>0.746274173259735</c:v>
                </c:pt>
                <c:pt idx="29">
                  <c:v>0.746274173259735</c:v>
                </c:pt>
                <c:pt idx="30">
                  <c:v>0.746274173259735</c:v>
                </c:pt>
                <c:pt idx="31">
                  <c:v>0.746274173259735</c:v>
                </c:pt>
                <c:pt idx="32">
                  <c:v>0.746274173259735</c:v>
                </c:pt>
                <c:pt idx="33">
                  <c:v>0.746274173259735</c:v>
                </c:pt>
                <c:pt idx="34">
                  <c:v>0.746274173259735</c:v>
                </c:pt>
                <c:pt idx="35">
                  <c:v>0.746274173259735</c:v>
                </c:pt>
                <c:pt idx="36">
                  <c:v>0.746274173259735</c:v>
                </c:pt>
                <c:pt idx="37">
                  <c:v>0.746274173259735</c:v>
                </c:pt>
                <c:pt idx="38">
                  <c:v>0.746274173259735</c:v>
                </c:pt>
                <c:pt idx="39">
                  <c:v>0.746274173259735</c:v>
                </c:pt>
                <c:pt idx="40">
                  <c:v>0.746274173259735</c:v>
                </c:pt>
                <c:pt idx="41">
                  <c:v>0.746274173259735</c:v>
                </c:pt>
                <c:pt idx="42">
                  <c:v>0.746274173259735</c:v>
                </c:pt>
                <c:pt idx="43">
                  <c:v>0.746274173259735</c:v>
                </c:pt>
                <c:pt idx="44">
                  <c:v>0.746274173259735</c:v>
                </c:pt>
                <c:pt idx="45">
                  <c:v>0.746274173259735</c:v>
                </c:pt>
                <c:pt idx="46">
                  <c:v>0.746274173259735</c:v>
                </c:pt>
                <c:pt idx="47">
                  <c:v>0.746274173259735</c:v>
                </c:pt>
                <c:pt idx="48">
                  <c:v>0.746274173259735</c:v>
                </c:pt>
                <c:pt idx="49">
                  <c:v>0.746274173259735</c:v>
                </c:pt>
                <c:pt idx="50">
                  <c:v>0.746274173259735</c:v>
                </c:pt>
                <c:pt idx="51">
                  <c:v>0.746274173259735</c:v>
                </c:pt>
                <c:pt idx="52">
                  <c:v>0.746274173259735</c:v>
                </c:pt>
                <c:pt idx="53">
                  <c:v>0.746274173259735</c:v>
                </c:pt>
                <c:pt idx="54">
                  <c:v>0.746274173259735</c:v>
                </c:pt>
                <c:pt idx="55">
                  <c:v>0.746274173259735</c:v>
                </c:pt>
                <c:pt idx="56">
                  <c:v>0.746274173259735</c:v>
                </c:pt>
                <c:pt idx="57">
                  <c:v>0.746274173259735</c:v>
                </c:pt>
                <c:pt idx="58">
                  <c:v>0.746274173259735</c:v>
                </c:pt>
                <c:pt idx="59">
                  <c:v>0.746274173259735</c:v>
                </c:pt>
                <c:pt idx="60">
                  <c:v>0.746274173259735</c:v>
                </c:pt>
                <c:pt idx="61">
                  <c:v>0.746274173259735</c:v>
                </c:pt>
                <c:pt idx="62">
                  <c:v>0.746274173259735</c:v>
                </c:pt>
                <c:pt idx="63">
                  <c:v>0.746274173259735</c:v>
                </c:pt>
                <c:pt idx="64">
                  <c:v>0.746274173259735</c:v>
                </c:pt>
                <c:pt idx="65">
                  <c:v>0.746274173259735</c:v>
                </c:pt>
                <c:pt idx="66">
                  <c:v>0.746274173259735</c:v>
                </c:pt>
                <c:pt idx="67">
                  <c:v>0.746274173259735</c:v>
                </c:pt>
                <c:pt idx="68">
                  <c:v>0.746274173259735</c:v>
                </c:pt>
                <c:pt idx="69">
                  <c:v>0.746274173259735</c:v>
                </c:pt>
                <c:pt idx="70">
                  <c:v>0.746274173259735</c:v>
                </c:pt>
                <c:pt idx="71">
                  <c:v>0.746274173259735</c:v>
                </c:pt>
                <c:pt idx="72">
                  <c:v>0.746274173259735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16-4482-BD31-5E86AA812DFE}"/>
            </c:ext>
          </c:extLst>
        </c:ser>
        <c:ser>
          <c:idx val="1"/>
          <c:order val="1"/>
          <c:tx>
            <c:v>Labsh proyección</c:v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'H4-Labsh'!$A$7:$A$106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cat>
          <c:val>
            <c:numRef>
              <c:f>'H4-Labsh'!$C$7:$C$106</c:f>
              <c:numCache>
                <c:formatCode>0.0%</c:formatCode>
                <c:ptCount val="100"/>
                <c:pt idx="72">
                  <c:v>0.746274173259735</c:v>
                </c:pt>
                <c:pt idx="73">
                  <c:v>0.746274173259735</c:v>
                </c:pt>
                <c:pt idx="74">
                  <c:v>0.746274173259735</c:v>
                </c:pt>
                <c:pt idx="75">
                  <c:v>0.746274173259735</c:v>
                </c:pt>
                <c:pt idx="76">
                  <c:v>0.746274173259735</c:v>
                </c:pt>
                <c:pt idx="77">
                  <c:v>0.746274173259735</c:v>
                </c:pt>
                <c:pt idx="78">
                  <c:v>0.746274173259735</c:v>
                </c:pt>
                <c:pt idx="79">
                  <c:v>0.746274173259735</c:v>
                </c:pt>
                <c:pt idx="80">
                  <c:v>0.746274173259735</c:v>
                </c:pt>
                <c:pt idx="81">
                  <c:v>0.746274173259735</c:v>
                </c:pt>
                <c:pt idx="82">
                  <c:v>0.746274173259735</c:v>
                </c:pt>
                <c:pt idx="83">
                  <c:v>0.746274173259735</c:v>
                </c:pt>
                <c:pt idx="84">
                  <c:v>0.746274173259735</c:v>
                </c:pt>
                <c:pt idx="85">
                  <c:v>0.746274173259735</c:v>
                </c:pt>
                <c:pt idx="86">
                  <c:v>0.746274173259735</c:v>
                </c:pt>
                <c:pt idx="87">
                  <c:v>0.746274173259735</c:v>
                </c:pt>
                <c:pt idx="88">
                  <c:v>0.746274173259735</c:v>
                </c:pt>
                <c:pt idx="89">
                  <c:v>0.746274173259735</c:v>
                </c:pt>
                <c:pt idx="90">
                  <c:v>0.746274173259735</c:v>
                </c:pt>
                <c:pt idx="91">
                  <c:v>0.746274173259735</c:v>
                </c:pt>
                <c:pt idx="92">
                  <c:v>0.746274173259735</c:v>
                </c:pt>
                <c:pt idx="93">
                  <c:v>0.746274173259735</c:v>
                </c:pt>
                <c:pt idx="94">
                  <c:v>0.746274173259735</c:v>
                </c:pt>
                <c:pt idx="95">
                  <c:v>0.746274173259735</c:v>
                </c:pt>
                <c:pt idx="96">
                  <c:v>0.746274173259735</c:v>
                </c:pt>
                <c:pt idx="97">
                  <c:v>0.746274173259735</c:v>
                </c:pt>
                <c:pt idx="98">
                  <c:v>0.746274173259735</c:v>
                </c:pt>
                <c:pt idx="99">
                  <c:v>0.746274173259735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16-4482-BD31-5E86AA812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812992"/>
        <c:axId val="1700823552"/>
      </c:lineChart>
      <c:catAx>
        <c:axId val="170081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23552"/>
        <c:crosses val="autoZero"/>
        <c:auto val="1"/>
        <c:lblAlgn val="ctr"/>
        <c:lblOffset val="100"/>
        <c:tickLblSkip val="10"/>
        <c:noMultiLvlLbl val="0"/>
      </c:catAx>
      <c:valAx>
        <c:axId val="170082355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1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IRR</a:t>
            </a:r>
            <a:r>
              <a:rPr lang="en-US" sz="1000" b="1" baseline="0"/>
              <a:t> - Taiwan 1951 - 2050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Tasa de retorno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'H5-Retorno'!$A$7:$A$106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cat>
          <c:val>
            <c:numRef>
              <c:f>'H5-Retorno'!$B$7:$B$106</c:f>
              <c:numCache>
                <c:formatCode>0.0%</c:formatCode>
                <c:ptCount val="100"/>
                <c:pt idx="0">
                  <c:v>7.9511168880537705E-2</c:v>
                </c:pt>
                <c:pt idx="1">
                  <c:v>9.0247651688527594E-2</c:v>
                </c:pt>
                <c:pt idx="2">
                  <c:v>9.4873965941595195E-2</c:v>
                </c:pt>
                <c:pt idx="3">
                  <c:v>9.7360172871846104E-2</c:v>
                </c:pt>
                <c:pt idx="4">
                  <c:v>0.10133851690897989</c:v>
                </c:pt>
                <c:pt idx="5">
                  <c:v>0.1030993430434244</c:v>
                </c:pt>
                <c:pt idx="6">
                  <c:v>0.1078007742826152</c:v>
                </c:pt>
                <c:pt idx="7">
                  <c:v>0.1096979614147017</c:v>
                </c:pt>
                <c:pt idx="8">
                  <c:v>0.1104724529237998</c:v>
                </c:pt>
                <c:pt idx="9">
                  <c:v>0.11077430327078951</c:v>
                </c:pt>
                <c:pt idx="10">
                  <c:v>0.1125976924050551</c:v>
                </c:pt>
                <c:pt idx="11">
                  <c:v>0.114693255233522</c:v>
                </c:pt>
                <c:pt idx="12">
                  <c:v>0.1197770040992121</c:v>
                </c:pt>
                <c:pt idx="13">
                  <c:v>0.12687299784041919</c:v>
                </c:pt>
                <c:pt idx="14">
                  <c:v>0.12598931964407309</c:v>
                </c:pt>
                <c:pt idx="15">
                  <c:v>0.12313021119597831</c:v>
                </c:pt>
                <c:pt idx="16">
                  <c:v>0.1218412247662688</c:v>
                </c:pt>
                <c:pt idx="17">
                  <c:v>0.1185048832373202</c:v>
                </c:pt>
                <c:pt idx="18">
                  <c:v>0.1162973292789045</c:v>
                </c:pt>
                <c:pt idx="19">
                  <c:v>0.1161815262050966</c:v>
                </c:pt>
                <c:pt idx="20">
                  <c:v>0.1150587645547889</c:v>
                </c:pt>
                <c:pt idx="21">
                  <c:v>0.1150409312950358</c:v>
                </c:pt>
                <c:pt idx="22">
                  <c:v>0.1130002060214999</c:v>
                </c:pt>
                <c:pt idx="23">
                  <c:v>9.6475572048779504E-2</c:v>
                </c:pt>
                <c:pt idx="24">
                  <c:v>8.6964205640446296E-2</c:v>
                </c:pt>
                <c:pt idx="25">
                  <c:v>9.1708161930293894E-2</c:v>
                </c:pt>
                <c:pt idx="26">
                  <c:v>9.0966211419485896E-2</c:v>
                </c:pt>
                <c:pt idx="27">
                  <c:v>9.25786284755514E-2</c:v>
                </c:pt>
                <c:pt idx="28">
                  <c:v>8.8970597578689706E-2</c:v>
                </c:pt>
                <c:pt idx="29">
                  <c:v>8.3235333184281196E-2</c:v>
                </c:pt>
                <c:pt idx="30">
                  <c:v>8.0238918302860396E-2</c:v>
                </c:pt>
                <c:pt idx="31">
                  <c:v>7.7138298035922495E-2</c:v>
                </c:pt>
                <c:pt idx="32">
                  <c:v>7.7760349354744601E-2</c:v>
                </c:pt>
                <c:pt idx="33">
                  <c:v>7.8839007026696495E-2</c:v>
                </c:pt>
                <c:pt idx="34">
                  <c:v>7.7676606675870105E-2</c:v>
                </c:pt>
                <c:pt idx="35">
                  <c:v>8.2693726102037401E-2</c:v>
                </c:pt>
                <c:pt idx="36">
                  <c:v>8.4338781120898196E-2</c:v>
                </c:pt>
                <c:pt idx="37">
                  <c:v>8.1521862594158098E-2</c:v>
                </c:pt>
                <c:pt idx="38">
                  <c:v>8.1019956224929995E-2</c:v>
                </c:pt>
                <c:pt idx="39">
                  <c:v>7.81440964781102E-2</c:v>
                </c:pt>
                <c:pt idx="40">
                  <c:v>7.73567931780373E-2</c:v>
                </c:pt>
                <c:pt idx="41">
                  <c:v>7.5273940471288298E-2</c:v>
                </c:pt>
                <c:pt idx="42">
                  <c:v>7.3225651219419804E-2</c:v>
                </c:pt>
                <c:pt idx="43">
                  <c:v>7.1442987043476694E-2</c:v>
                </c:pt>
                <c:pt idx="44">
                  <c:v>6.9187357603098201E-2</c:v>
                </c:pt>
                <c:pt idx="45">
                  <c:v>6.8739940127476501E-2</c:v>
                </c:pt>
                <c:pt idx="46">
                  <c:v>6.7799467214909204E-2</c:v>
                </c:pt>
                <c:pt idx="47">
                  <c:v>6.6362422707625102E-2</c:v>
                </c:pt>
                <c:pt idx="48">
                  <c:v>6.4539735227503697E-2</c:v>
                </c:pt>
                <c:pt idx="49">
                  <c:v>6.2907920697813896E-2</c:v>
                </c:pt>
                <c:pt idx="50">
                  <c:v>5.9757769233810799E-2</c:v>
                </c:pt>
                <c:pt idx="51">
                  <c:v>6.0400927327803999E-2</c:v>
                </c:pt>
                <c:pt idx="52">
                  <c:v>5.9828605696277702E-2</c:v>
                </c:pt>
                <c:pt idx="53">
                  <c:v>5.9570975471200598E-2</c:v>
                </c:pt>
                <c:pt idx="54">
                  <c:v>5.9235476886641499E-2</c:v>
                </c:pt>
                <c:pt idx="55">
                  <c:v>5.9300399734894302E-2</c:v>
                </c:pt>
                <c:pt idx="56">
                  <c:v>6.04234379831829E-2</c:v>
                </c:pt>
                <c:pt idx="57">
                  <c:v>5.6845748585941901E-2</c:v>
                </c:pt>
                <c:pt idx="58">
                  <c:v>5.6520009066859299E-2</c:v>
                </c:pt>
                <c:pt idx="59">
                  <c:v>6.0117321706953601E-2</c:v>
                </c:pt>
                <c:pt idx="60">
                  <c:v>5.9936750312362501E-2</c:v>
                </c:pt>
                <c:pt idx="61">
                  <c:v>6.0809395313470502E-2</c:v>
                </c:pt>
                <c:pt idx="62">
                  <c:v>6.0088154942601398E-2</c:v>
                </c:pt>
                <c:pt idx="63">
                  <c:v>6.0790645898581401E-2</c:v>
                </c:pt>
                <c:pt idx="64">
                  <c:v>6.1731836154421398E-2</c:v>
                </c:pt>
                <c:pt idx="65">
                  <c:v>6.0320056408375997E-2</c:v>
                </c:pt>
                <c:pt idx="66">
                  <c:v>5.9489537163357503E-2</c:v>
                </c:pt>
                <c:pt idx="67">
                  <c:v>5.83006182795286E-2</c:v>
                </c:pt>
                <c:pt idx="68">
                  <c:v>5.8845770247622997E-2</c:v>
                </c:pt>
                <c:pt idx="69">
                  <c:v>6.1018704472801298E-2</c:v>
                </c:pt>
                <c:pt idx="70">
                  <c:v>6.2043836543694497E-2</c:v>
                </c:pt>
                <c:pt idx="71">
                  <c:v>6.1004729838166898E-2</c:v>
                </c:pt>
                <c:pt idx="72">
                  <c:v>6.0621350418578197E-2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9-4D4E-A936-AC517FFE5D9B}"/>
            </c:ext>
          </c:extLst>
        </c:ser>
        <c:ser>
          <c:idx val="1"/>
          <c:order val="1"/>
          <c:tx>
            <c:v>Proyección IRR</c:v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'H5-Retorno'!$A$7:$A$106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cat>
          <c:val>
            <c:numRef>
              <c:f>'H5-Retorno'!$C$7:$C$106</c:f>
              <c:numCache>
                <c:formatCode>0.0%</c:formatCode>
                <c:ptCount val="100"/>
                <c:pt idx="72">
                  <c:v>6.0621350418578197E-2</c:v>
                </c:pt>
                <c:pt idx="73">
                  <c:v>5.6853984408972977E-2</c:v>
                </c:pt>
                <c:pt idx="74">
                  <c:v>5.3086618399367756E-2</c:v>
                </c:pt>
                <c:pt idx="75">
                  <c:v>4.9319252389762536E-2</c:v>
                </c:pt>
                <c:pt idx="76">
                  <c:v>4.5551886380157315E-2</c:v>
                </c:pt>
                <c:pt idx="77">
                  <c:v>4.1784520370552095E-2</c:v>
                </c:pt>
                <c:pt idx="78">
                  <c:v>3.8017154360946874E-2</c:v>
                </c:pt>
                <c:pt idx="79">
                  <c:v>3.4249788351341653E-2</c:v>
                </c:pt>
                <c:pt idx="80">
                  <c:v>3.0482422341736433E-2</c:v>
                </c:pt>
                <c:pt idx="81">
                  <c:v>2.6715056332131212E-2</c:v>
                </c:pt>
                <c:pt idx="82">
                  <c:v>2.2947690322525992E-2</c:v>
                </c:pt>
                <c:pt idx="83">
                  <c:v>1.9180324312920771E-2</c:v>
                </c:pt>
                <c:pt idx="84">
                  <c:v>1.5412958303315551E-2</c:v>
                </c:pt>
                <c:pt idx="85">
                  <c:v>1.164559229371033E-2</c:v>
                </c:pt>
                <c:pt idx="86">
                  <c:v>7.8782262841051096E-3</c:v>
                </c:pt>
                <c:pt idx="87">
                  <c:v>4.110860274499889E-3</c:v>
                </c:pt>
                <c:pt idx="88">
                  <c:v>3.4349426489466844E-4</c:v>
                </c:pt>
                <c:pt idx="89">
                  <c:v>-3.4238717447105521E-3</c:v>
                </c:pt>
                <c:pt idx="90">
                  <c:v>-7.1912377543157727E-3</c:v>
                </c:pt>
                <c:pt idx="91">
                  <c:v>-1.0958603763920993E-2</c:v>
                </c:pt>
                <c:pt idx="92">
                  <c:v>-1.4725969773526214E-2</c:v>
                </c:pt>
                <c:pt idx="93">
                  <c:v>-1.8493335783131434E-2</c:v>
                </c:pt>
                <c:pt idx="94">
                  <c:v>-2.2260701792736655E-2</c:v>
                </c:pt>
                <c:pt idx="95">
                  <c:v>-2.6028067802341875E-2</c:v>
                </c:pt>
                <c:pt idx="96">
                  <c:v>-2.9795433811947096E-2</c:v>
                </c:pt>
                <c:pt idx="97">
                  <c:v>-3.3562799821552317E-2</c:v>
                </c:pt>
                <c:pt idx="98">
                  <c:v>-3.7330165831157537E-2</c:v>
                </c:pt>
                <c:pt idx="99">
                  <c:v>-4.1097531840762758E-2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9-4D4E-A936-AC517FFE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826912"/>
        <c:axId val="1700830752"/>
      </c:lineChart>
      <c:catAx>
        <c:axId val="170082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30752"/>
        <c:crosses val="autoZero"/>
        <c:auto val="1"/>
        <c:lblAlgn val="ctr"/>
        <c:lblOffset val="100"/>
        <c:tickLblSkip val="20"/>
        <c:noMultiLvlLbl val="0"/>
      </c:catAx>
      <c:valAx>
        <c:axId val="170083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2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W</a:t>
            </a:r>
            <a:r>
              <a:rPr lang="en-US" sz="1000" b="1" baseline="0"/>
              <a:t> - Taiwan 1951 - 2050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Salarios reales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'H6-Salarios'!$A$7:$A$106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cat>
          <c:val>
            <c:numRef>
              <c:f>'H6-Salarios'!$C$7:$C$106</c:f>
              <c:numCache>
                <c:formatCode>#,##0.00</c:formatCode>
                <c:ptCount val="100"/>
                <c:pt idx="0">
                  <c:v>8.2765797852671508</c:v>
                </c:pt>
                <c:pt idx="1">
                  <c:v>8.4084351270969684</c:v>
                </c:pt>
                <c:pt idx="2">
                  <c:v>8.4815658846768329</c:v>
                </c:pt>
                <c:pt idx="3">
                  <c:v>8.5292534561515616</c:v>
                </c:pt>
                <c:pt idx="4">
                  <c:v>8.5754150324549432</c:v>
                </c:pt>
                <c:pt idx="5">
                  <c:v>8.6097581297559067</c:v>
                </c:pt>
                <c:pt idx="6">
                  <c:v>8.6697268923772732</c:v>
                </c:pt>
                <c:pt idx="7">
                  <c:v>8.7113864899846387</c:v>
                </c:pt>
                <c:pt idx="8">
                  <c:v>8.7537238440456218</c:v>
                </c:pt>
                <c:pt idx="9">
                  <c:v>8.8025348613685424</c:v>
                </c:pt>
                <c:pt idx="10">
                  <c:v>8.8552056603468383</c:v>
                </c:pt>
                <c:pt idx="11">
                  <c:v>8.9066063344964288</c:v>
                </c:pt>
                <c:pt idx="12">
                  <c:v>8.993002473298624</c:v>
                </c:pt>
                <c:pt idx="13">
                  <c:v>9.1166198144101429</c:v>
                </c:pt>
                <c:pt idx="14">
                  <c:v>9.2036535328225817</c:v>
                </c:pt>
                <c:pt idx="15">
                  <c:v>9.2701344011068887</c:v>
                </c:pt>
                <c:pt idx="16">
                  <c:v>9.3352219472431575</c:v>
                </c:pt>
                <c:pt idx="17">
                  <c:v>9.3980556139677471</c:v>
                </c:pt>
                <c:pt idx="18">
                  <c:v>9.4691978993236141</c:v>
                </c:pt>
                <c:pt idx="19">
                  <c:v>9.5591056749117609</c:v>
                </c:pt>
                <c:pt idx="20">
                  <c:v>9.6587231781686249</c:v>
                </c:pt>
                <c:pt idx="21">
                  <c:v>9.7600132113966751</c:v>
                </c:pt>
                <c:pt idx="22">
                  <c:v>9.805489126660369</c:v>
                </c:pt>
                <c:pt idx="23">
                  <c:v>9.7506647905235244</c:v>
                </c:pt>
                <c:pt idx="24">
                  <c:v>9.7767365490469391</c:v>
                </c:pt>
                <c:pt idx="25">
                  <c:v>9.9202228585350021</c:v>
                </c:pt>
                <c:pt idx="26">
                  <c:v>9.9602849874676878</c:v>
                </c:pt>
                <c:pt idx="27">
                  <c:v>10.040859743451318</c:v>
                </c:pt>
                <c:pt idx="28">
                  <c:v>10.078095664178289</c:v>
                </c:pt>
                <c:pt idx="29">
                  <c:v>10.108414224425449</c:v>
                </c:pt>
                <c:pt idx="30">
                  <c:v>10.156270562320303</c:v>
                </c:pt>
                <c:pt idx="31">
                  <c:v>10.18084880731918</c:v>
                </c:pt>
                <c:pt idx="32">
                  <c:v>10.224917266254556</c:v>
                </c:pt>
                <c:pt idx="33">
                  <c:v>10.280013816099181</c:v>
                </c:pt>
                <c:pt idx="34">
                  <c:v>10.308231645655997</c:v>
                </c:pt>
                <c:pt idx="35">
                  <c:v>10.395069063365931</c:v>
                </c:pt>
                <c:pt idx="36">
                  <c:v>10.463896829740074</c:v>
                </c:pt>
                <c:pt idx="37">
                  <c:v>10.507244706497445</c:v>
                </c:pt>
                <c:pt idx="38">
                  <c:v>10.576241882331894</c:v>
                </c:pt>
                <c:pt idx="39">
                  <c:v>10.629534842331356</c:v>
                </c:pt>
                <c:pt idx="40">
                  <c:v>10.697305394908017</c:v>
                </c:pt>
                <c:pt idx="41">
                  <c:v>10.740268289872079</c:v>
                </c:pt>
                <c:pt idx="42">
                  <c:v>10.793142366127549</c:v>
                </c:pt>
                <c:pt idx="43">
                  <c:v>10.837693071472344</c:v>
                </c:pt>
                <c:pt idx="44">
                  <c:v>10.882983777366537</c:v>
                </c:pt>
                <c:pt idx="45">
                  <c:v>10.964854580920944</c:v>
                </c:pt>
                <c:pt idx="46">
                  <c:v>11.017451562846253</c:v>
                </c:pt>
                <c:pt idx="47">
                  <c:v>11.068088203791978</c:v>
                </c:pt>
                <c:pt idx="48">
                  <c:v>11.105846725627623</c:v>
                </c:pt>
                <c:pt idx="49">
                  <c:v>11.132499220488191</c:v>
                </c:pt>
                <c:pt idx="50">
                  <c:v>11.140841130642581</c:v>
                </c:pt>
                <c:pt idx="51">
                  <c:v>11.177106755846076</c:v>
                </c:pt>
                <c:pt idx="52">
                  <c:v>11.186021035872665</c:v>
                </c:pt>
                <c:pt idx="53">
                  <c:v>11.198257093261526</c:v>
                </c:pt>
                <c:pt idx="54">
                  <c:v>11.211013011441418</c:v>
                </c:pt>
                <c:pt idx="55">
                  <c:v>11.227178052196651</c:v>
                </c:pt>
                <c:pt idx="56">
                  <c:v>11.258011548500509</c:v>
                </c:pt>
                <c:pt idx="57">
                  <c:v>11.203740045127416</c:v>
                </c:pt>
                <c:pt idx="58">
                  <c:v>11.219012539050688</c:v>
                </c:pt>
                <c:pt idx="59">
                  <c:v>11.281383388934495</c:v>
                </c:pt>
                <c:pt idx="60">
                  <c:v>11.276096639709502</c:v>
                </c:pt>
                <c:pt idx="61">
                  <c:v>11.29214012980164</c:v>
                </c:pt>
                <c:pt idx="62">
                  <c:v>11.289351110634152</c:v>
                </c:pt>
                <c:pt idx="63">
                  <c:v>11.310753094873235</c:v>
                </c:pt>
                <c:pt idx="64">
                  <c:v>11.334919310782281</c:v>
                </c:pt>
                <c:pt idx="65">
                  <c:v>11.326069317104178</c:v>
                </c:pt>
                <c:pt idx="66">
                  <c:v>11.323097459431063</c:v>
                </c:pt>
                <c:pt idx="67">
                  <c:v>11.314628172819036</c:v>
                </c:pt>
                <c:pt idx="68">
                  <c:v>11.343534187816408</c:v>
                </c:pt>
                <c:pt idx="69">
                  <c:v>11.406598909631137</c:v>
                </c:pt>
                <c:pt idx="70">
                  <c:v>11.451221587674475</c:v>
                </c:pt>
                <c:pt idx="71">
                  <c:v>11.459116165164643</c:v>
                </c:pt>
                <c:pt idx="72">
                  <c:v>11.48055412843232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5E0-4FF5-B5FA-A6E804B607A6}"/>
            </c:ext>
          </c:extLst>
        </c:ser>
        <c:ser>
          <c:idx val="1"/>
          <c:order val="1"/>
          <c:tx>
            <c:v>Proyección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'H6-Salarios'!$A$7:$A$106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cat>
          <c:val>
            <c:numRef>
              <c:f>'H6-Salarios'!$D$7:$D$106</c:f>
              <c:numCache>
                <c:formatCode>#,##0.00</c:formatCode>
                <c:ptCount val="100"/>
                <c:pt idx="72">
                  <c:v>11.48055412843232</c:v>
                </c:pt>
                <c:pt idx="73">
                  <c:v>11.524092089283577</c:v>
                </c:pt>
                <c:pt idx="74">
                  <c:v>11.567630050134836</c:v>
                </c:pt>
                <c:pt idx="75">
                  <c:v>11.611168010986093</c:v>
                </c:pt>
                <c:pt idx="76">
                  <c:v>11.654705971837352</c:v>
                </c:pt>
                <c:pt idx="77">
                  <c:v>11.698243932688609</c:v>
                </c:pt>
                <c:pt idx="78">
                  <c:v>11.741781893539867</c:v>
                </c:pt>
                <c:pt idx="79">
                  <c:v>11.785319854391126</c:v>
                </c:pt>
                <c:pt idx="80">
                  <c:v>11.828857815242383</c:v>
                </c:pt>
                <c:pt idx="81">
                  <c:v>11.872395776093642</c:v>
                </c:pt>
                <c:pt idx="82">
                  <c:v>11.915933736944899</c:v>
                </c:pt>
                <c:pt idx="83">
                  <c:v>11.959471697796157</c:v>
                </c:pt>
                <c:pt idx="84">
                  <c:v>12.003009658647414</c:v>
                </c:pt>
                <c:pt idx="85">
                  <c:v>12.046547619498673</c:v>
                </c:pt>
                <c:pt idx="86">
                  <c:v>12.09008558034993</c:v>
                </c:pt>
                <c:pt idx="87">
                  <c:v>12.133623541201189</c:v>
                </c:pt>
                <c:pt idx="88">
                  <c:v>12.177161502052448</c:v>
                </c:pt>
                <c:pt idx="89">
                  <c:v>12.220699462903704</c:v>
                </c:pt>
                <c:pt idx="90">
                  <c:v>12.264237423754963</c:v>
                </c:pt>
                <c:pt idx="91">
                  <c:v>12.30777538460622</c:v>
                </c:pt>
                <c:pt idx="92">
                  <c:v>12.351313345457479</c:v>
                </c:pt>
                <c:pt idx="93">
                  <c:v>12.394851306308736</c:v>
                </c:pt>
                <c:pt idx="94">
                  <c:v>12.438389267159994</c:v>
                </c:pt>
                <c:pt idx="95">
                  <c:v>12.481927228011251</c:v>
                </c:pt>
                <c:pt idx="96">
                  <c:v>12.52546518886251</c:v>
                </c:pt>
                <c:pt idx="97">
                  <c:v>12.569003149713767</c:v>
                </c:pt>
                <c:pt idx="98">
                  <c:v>12.612541110565026</c:v>
                </c:pt>
                <c:pt idx="99">
                  <c:v>12.656079071416285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0-4FF5-B5FA-A6E804B607A6}"/>
            </c:ext>
          </c:extLst>
        </c:ser>
        <c:ser>
          <c:idx val="2"/>
          <c:order val="2"/>
          <c:tx>
            <c:v>Tendencia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'H6-Salarios'!$F$7:$F$106</c:f>
              <c:numCache>
                <c:formatCode>#,##0.00</c:formatCode>
                <c:ptCount val="100"/>
                <c:pt idx="0">
                  <c:v>8.2765797852671508</c:v>
                </c:pt>
                <c:pt idx="1">
                  <c:v>8.3201177461184095</c:v>
                </c:pt>
                <c:pt idx="2">
                  <c:v>8.3636557069696664</c:v>
                </c:pt>
                <c:pt idx="3">
                  <c:v>8.4071936678209251</c:v>
                </c:pt>
                <c:pt idx="4">
                  <c:v>8.4507316286721821</c:v>
                </c:pt>
                <c:pt idx="5">
                  <c:v>8.4942695895234408</c:v>
                </c:pt>
                <c:pt idx="6">
                  <c:v>8.5378075503746977</c:v>
                </c:pt>
                <c:pt idx="7">
                  <c:v>8.5813455112259565</c:v>
                </c:pt>
                <c:pt idx="8">
                  <c:v>8.6248834720772152</c:v>
                </c:pt>
                <c:pt idx="9">
                  <c:v>8.6684214329284721</c:v>
                </c:pt>
                <c:pt idx="10">
                  <c:v>8.7119593937797308</c:v>
                </c:pt>
                <c:pt idx="11">
                  <c:v>8.7554973546309878</c:v>
                </c:pt>
                <c:pt idx="12">
                  <c:v>8.7990353154822465</c:v>
                </c:pt>
                <c:pt idx="13">
                  <c:v>8.8425732763335034</c:v>
                </c:pt>
                <c:pt idx="14">
                  <c:v>8.8861112371847621</c:v>
                </c:pt>
                <c:pt idx="15">
                  <c:v>8.9296491980360191</c:v>
                </c:pt>
                <c:pt idx="16">
                  <c:v>8.9731871588872778</c:v>
                </c:pt>
                <c:pt idx="17">
                  <c:v>9.0167251197385365</c:v>
                </c:pt>
                <c:pt idx="18">
                  <c:v>9.0602630805897935</c:v>
                </c:pt>
                <c:pt idx="19">
                  <c:v>9.1038010414410522</c:v>
                </c:pt>
                <c:pt idx="20">
                  <c:v>9.1473390022923091</c:v>
                </c:pt>
                <c:pt idx="21">
                  <c:v>9.1908769631435678</c:v>
                </c:pt>
                <c:pt idx="22">
                  <c:v>9.2344149239948248</c:v>
                </c:pt>
                <c:pt idx="23">
                  <c:v>9.2779528848460835</c:v>
                </c:pt>
                <c:pt idx="24">
                  <c:v>9.3214908456973422</c:v>
                </c:pt>
                <c:pt idx="25">
                  <c:v>9.3650288065485991</c:v>
                </c:pt>
                <c:pt idx="26">
                  <c:v>9.4085667673998579</c:v>
                </c:pt>
                <c:pt idx="27">
                  <c:v>9.4521047282511148</c:v>
                </c:pt>
                <c:pt idx="28">
                  <c:v>9.4956426891023735</c:v>
                </c:pt>
                <c:pt idx="29">
                  <c:v>9.5391806499536305</c:v>
                </c:pt>
                <c:pt idx="30">
                  <c:v>9.5827186108048892</c:v>
                </c:pt>
                <c:pt idx="31">
                  <c:v>9.6262565716561479</c:v>
                </c:pt>
                <c:pt idx="32">
                  <c:v>9.6697945325074048</c:v>
                </c:pt>
                <c:pt idx="33">
                  <c:v>9.7133324933586636</c:v>
                </c:pt>
                <c:pt idx="34">
                  <c:v>9.7568704542099205</c:v>
                </c:pt>
                <c:pt idx="35">
                  <c:v>9.8004084150611792</c:v>
                </c:pt>
                <c:pt idx="36">
                  <c:v>9.8439463759124362</c:v>
                </c:pt>
                <c:pt idx="37">
                  <c:v>9.8874843367636949</c:v>
                </c:pt>
                <c:pt idx="38">
                  <c:v>9.9310222976149518</c:v>
                </c:pt>
                <c:pt idx="39">
                  <c:v>9.9745602584662105</c:v>
                </c:pt>
                <c:pt idx="40">
                  <c:v>10.018098219317469</c:v>
                </c:pt>
                <c:pt idx="41">
                  <c:v>10.061636180168726</c:v>
                </c:pt>
                <c:pt idx="42">
                  <c:v>10.105174141019985</c:v>
                </c:pt>
                <c:pt idx="43">
                  <c:v>10.148712101871242</c:v>
                </c:pt>
                <c:pt idx="44">
                  <c:v>10.192250062722501</c:v>
                </c:pt>
                <c:pt idx="45">
                  <c:v>10.235788023573757</c:v>
                </c:pt>
                <c:pt idx="46">
                  <c:v>10.279325984425016</c:v>
                </c:pt>
                <c:pt idx="47">
                  <c:v>10.322863945276275</c:v>
                </c:pt>
                <c:pt idx="48">
                  <c:v>10.366401906127532</c:v>
                </c:pt>
                <c:pt idx="49">
                  <c:v>10.409939866978791</c:v>
                </c:pt>
                <c:pt idx="50">
                  <c:v>10.453477827830048</c:v>
                </c:pt>
                <c:pt idx="51">
                  <c:v>10.497015788681306</c:v>
                </c:pt>
                <c:pt idx="52">
                  <c:v>10.540553749532563</c:v>
                </c:pt>
                <c:pt idx="53">
                  <c:v>10.584091710383822</c:v>
                </c:pt>
                <c:pt idx="54">
                  <c:v>10.627629671235079</c:v>
                </c:pt>
                <c:pt idx="55">
                  <c:v>10.671167632086338</c:v>
                </c:pt>
                <c:pt idx="56">
                  <c:v>10.714705592937596</c:v>
                </c:pt>
                <c:pt idx="57">
                  <c:v>10.758243553788853</c:v>
                </c:pt>
                <c:pt idx="58">
                  <c:v>10.801781514640112</c:v>
                </c:pt>
                <c:pt idx="59">
                  <c:v>10.845319475491369</c:v>
                </c:pt>
                <c:pt idx="60">
                  <c:v>10.888857436342628</c:v>
                </c:pt>
                <c:pt idx="61">
                  <c:v>10.932395397193885</c:v>
                </c:pt>
                <c:pt idx="62">
                  <c:v>10.975933358045143</c:v>
                </c:pt>
                <c:pt idx="63">
                  <c:v>11.019471318896402</c:v>
                </c:pt>
                <c:pt idx="64">
                  <c:v>11.063009279747659</c:v>
                </c:pt>
                <c:pt idx="65">
                  <c:v>11.106547240598918</c:v>
                </c:pt>
                <c:pt idx="66">
                  <c:v>11.150085201450175</c:v>
                </c:pt>
                <c:pt idx="67">
                  <c:v>11.193623162301433</c:v>
                </c:pt>
                <c:pt idx="68">
                  <c:v>11.23716112315269</c:v>
                </c:pt>
                <c:pt idx="69">
                  <c:v>11.280699084003949</c:v>
                </c:pt>
                <c:pt idx="70">
                  <c:v>11.324237044855206</c:v>
                </c:pt>
                <c:pt idx="71">
                  <c:v>11.367775005706465</c:v>
                </c:pt>
                <c:pt idx="72">
                  <c:v>11.411312966557722</c:v>
                </c:pt>
                <c:pt idx="73">
                  <c:v>11.45485092740898</c:v>
                </c:pt>
                <c:pt idx="74">
                  <c:v>11.498388888260237</c:v>
                </c:pt>
                <c:pt idx="75">
                  <c:v>11.541926849111496</c:v>
                </c:pt>
                <c:pt idx="76">
                  <c:v>11.585464809962755</c:v>
                </c:pt>
                <c:pt idx="77">
                  <c:v>11.629002770814012</c:v>
                </c:pt>
                <c:pt idx="78">
                  <c:v>11.67254073166527</c:v>
                </c:pt>
                <c:pt idx="79">
                  <c:v>11.716078692516527</c:v>
                </c:pt>
                <c:pt idx="80">
                  <c:v>11.759616653367786</c:v>
                </c:pt>
                <c:pt idx="81">
                  <c:v>11.803154614219043</c:v>
                </c:pt>
                <c:pt idx="82">
                  <c:v>11.846692575070302</c:v>
                </c:pt>
                <c:pt idx="83">
                  <c:v>11.890230535921559</c:v>
                </c:pt>
                <c:pt idx="84">
                  <c:v>11.933768496772817</c:v>
                </c:pt>
                <c:pt idx="85">
                  <c:v>11.977306457624076</c:v>
                </c:pt>
                <c:pt idx="86">
                  <c:v>12.020844418475333</c:v>
                </c:pt>
                <c:pt idx="87">
                  <c:v>12.064382379326592</c:v>
                </c:pt>
                <c:pt idx="88">
                  <c:v>12.107920340177849</c:v>
                </c:pt>
                <c:pt idx="89">
                  <c:v>12.151458301029107</c:v>
                </c:pt>
                <c:pt idx="90">
                  <c:v>12.194996261880364</c:v>
                </c:pt>
                <c:pt idx="91">
                  <c:v>12.238534222731623</c:v>
                </c:pt>
                <c:pt idx="92">
                  <c:v>12.282072183582882</c:v>
                </c:pt>
                <c:pt idx="93">
                  <c:v>12.325610144434139</c:v>
                </c:pt>
                <c:pt idx="94">
                  <c:v>12.369148105285397</c:v>
                </c:pt>
                <c:pt idx="95">
                  <c:v>12.412686066136654</c:v>
                </c:pt>
                <c:pt idx="96">
                  <c:v>12.456224026987913</c:v>
                </c:pt>
                <c:pt idx="97">
                  <c:v>12.49976198783917</c:v>
                </c:pt>
                <c:pt idx="98">
                  <c:v>12.543299948690429</c:v>
                </c:pt>
                <c:pt idx="99">
                  <c:v>12.586837909541686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0-4FF5-B5FA-A6E804B60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842752"/>
        <c:axId val="1700852832"/>
      </c:lineChart>
      <c:catAx>
        <c:axId val="170084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52832"/>
        <c:crosses val="autoZero"/>
        <c:auto val="1"/>
        <c:lblAlgn val="ctr"/>
        <c:lblOffset val="100"/>
        <c:tickLblSkip val="10"/>
        <c:noMultiLvlLbl val="0"/>
      </c:catAx>
      <c:valAx>
        <c:axId val="1700852832"/>
        <c:scaling>
          <c:orientation val="minMax"/>
          <c:min val="7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4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789214</xdr:colOff>
      <xdr:row>4</xdr:row>
      <xdr:rowOff>63500</xdr:rowOff>
    </xdr:from>
    <xdr:to>
      <xdr:col>10</xdr:col>
      <xdr:colOff>498929</xdr:colOff>
      <xdr:row>20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F4F16FC-F349-438D-B0E7-0AD6B60CC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959469</xdr:colOff>
      <xdr:row>6</xdr:row>
      <xdr:rowOff>100941</xdr:rowOff>
    </xdr:from>
    <xdr:to>
      <xdr:col>9</xdr:col>
      <xdr:colOff>902319</xdr:colOff>
      <xdr:row>22</xdr:row>
      <xdr:rowOff>100941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B1A24E-3DB9-CD78-6DEE-54959026E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5</xdr:col>
      <xdr:colOff>1966311</xdr:colOff>
      <xdr:row>25</xdr:row>
      <xdr:rowOff>115614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90D4275-6DAE-4DDD-A710-1EFB3587F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7</xdr:col>
      <xdr:colOff>200025</xdr:colOff>
      <xdr:row>20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667E56-AD4F-4CC7-8A94-C0AC0006E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3</xdr:row>
      <xdr:rowOff>114300</xdr:rowOff>
    </xdr:from>
    <xdr:to>
      <xdr:col>7</xdr:col>
      <xdr:colOff>647700</xdr:colOff>
      <xdr:row>19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6BEABB-6C4F-47E3-AE67-E1A80129F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1245576</xdr:colOff>
      <xdr:row>6</xdr:row>
      <xdr:rowOff>0</xdr:rowOff>
    </xdr:from>
    <xdr:to>
      <xdr:col>11</xdr:col>
      <xdr:colOff>227949</xdr:colOff>
      <xdr:row>21</xdr:row>
      <xdr:rowOff>134178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6A8A86B-F89B-4759-AB28-D676C90CE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271B-E25C-47AF-8379-5F9BB6DD679A}">
  <dimension ref="A1:F23"/>
  <sheetViews>
    <sheetView showGridLines="0" tabSelected="1" zoomScale="96" workbookViewId="0">
      <selection activeCell="F9" sqref="F9"/>
    </sheetView>
  </sheetViews>
  <sheetFormatPr baseColWidth="10" defaultColWidth="9.140625" defaultRowHeight="51.75" customHeight="1" x14ac:dyDescent="0.25"/>
  <cols>
    <col min="1" max="1" width="21.7109375" customWidth="1"/>
    <col min="2" max="2" width="22.28515625" customWidth="1"/>
    <col min="3" max="3" width="21.85546875" customWidth="1"/>
    <col min="4" max="4" width="19.140625" bestFit="1" customWidth="1"/>
    <col min="5" max="5" width="18.42578125" bestFit="1" customWidth="1"/>
    <col min="6" max="6" width="17.140625" bestFit="1" customWidth="1"/>
    <col min="7" max="7" width="3" customWidth="1"/>
  </cols>
  <sheetData>
    <row r="1" spans="1:6" ht="51.75" customHeight="1" x14ac:dyDescent="0.25">
      <c r="A1" s="51" t="s">
        <v>0</v>
      </c>
      <c r="B1" s="51"/>
      <c r="C1" s="51"/>
      <c r="D1" s="51"/>
      <c r="E1" s="51"/>
      <c r="F1" s="51"/>
    </row>
    <row r="2" spans="1:6" ht="51.75" customHeight="1" x14ac:dyDescent="0.25">
      <c r="A2" s="51"/>
      <c r="B2" s="51"/>
      <c r="C2" s="51"/>
      <c r="D2" s="51"/>
      <c r="E2" s="51"/>
      <c r="F2" s="51"/>
    </row>
    <row r="3" spans="1:6" ht="51.75" customHeight="1" x14ac:dyDescent="0.25">
      <c r="A3" s="51"/>
      <c r="B3" s="51"/>
      <c r="C3" s="51"/>
      <c r="D3" s="51"/>
      <c r="E3" s="51"/>
      <c r="F3" s="51"/>
    </row>
    <row r="4" spans="1:6" ht="51.75" customHeight="1" x14ac:dyDescent="0.25">
      <c r="A4" s="51"/>
      <c r="B4" s="51"/>
      <c r="C4" s="51"/>
      <c r="D4" s="51"/>
      <c r="E4" s="51"/>
      <c r="F4" s="51"/>
    </row>
    <row r="5" spans="1:6" ht="20.25" customHeight="1" x14ac:dyDescent="0.25">
      <c r="A5" s="46"/>
      <c r="B5" s="47"/>
      <c r="C5" s="47"/>
      <c r="D5" s="47"/>
      <c r="E5" s="47"/>
      <c r="F5" s="47"/>
    </row>
    <row r="6" spans="1:6" ht="51.75" customHeight="1" x14ac:dyDescent="0.25">
      <c r="A6" s="48"/>
      <c r="B6" s="49"/>
      <c r="C6" s="49"/>
      <c r="D6" s="49"/>
      <c r="E6" s="49"/>
      <c r="F6" s="49"/>
    </row>
    <row r="7" spans="1:6" ht="51.75" customHeight="1" x14ac:dyDescent="0.25">
      <c r="A7" s="50" t="s">
        <v>1</v>
      </c>
      <c r="B7" s="49"/>
      <c r="C7" s="49"/>
      <c r="D7" s="49"/>
      <c r="E7" s="49"/>
      <c r="F7" s="49"/>
    </row>
    <row r="8" spans="1:6" ht="51.75" customHeight="1" x14ac:dyDescent="0.25">
      <c r="A8" s="37">
        <v>1952</v>
      </c>
      <c r="B8" s="38">
        <v>1954</v>
      </c>
      <c r="C8" s="42">
        <v>1954</v>
      </c>
      <c r="D8" s="39">
        <v>1953</v>
      </c>
      <c r="E8" s="40">
        <v>1953</v>
      </c>
      <c r="F8" s="41">
        <v>1976</v>
      </c>
    </row>
    <row r="9" spans="1:6" ht="51.75" customHeight="1" x14ac:dyDescent="0.25">
      <c r="A9" s="36">
        <f>_xlfn.XLOOKUP(A8,'Datos Raw'!$B$3:$B$75,'Datos Raw'!C3:C75)</f>
        <v>6009.5031220936407</v>
      </c>
      <c r="B9" s="36">
        <f>_xlfn.XLOOKUP(B8,'Datos Raw'!$B$3:$B$75,'Datos Raw'!D3:D75)</f>
        <v>17672.28223014059</v>
      </c>
      <c r="C9" s="36">
        <f>_xlfn.XLOOKUP(C8,'Datos Raw'!$B$3:$B$75,'Datos Raw'!E3:E75)</f>
        <v>2.606053576694455</v>
      </c>
      <c r="D9" s="43">
        <f>_xlfn.XLOOKUP(D8,'Datos Raw'!$B$3:$B$75,'Datos Raw'!F3:F75)</f>
        <v>0.746274173259735</v>
      </c>
      <c r="E9" s="43">
        <f>_xlfn.XLOOKUP(E8,'Datos Raw'!$B$3:$B$75,'Datos Raw'!G3:G75)</f>
        <v>9.4873965941595195E-2</v>
      </c>
      <c r="F9" s="36">
        <f>_xlfn.XLOOKUP(F8,'Datos Raw'!$B$3:$B$75,'Datos Raw'!H3:H75)</f>
        <v>20337.522513781751</v>
      </c>
    </row>
    <row r="10" spans="1:6" ht="51.75" customHeight="1" x14ac:dyDescent="0.25">
      <c r="A10" s="1" t="s">
        <v>124</v>
      </c>
      <c r="B10" s="1" t="s">
        <v>125</v>
      </c>
      <c r="C10" s="1" t="s">
        <v>69</v>
      </c>
      <c r="D10" s="1" t="s">
        <v>2</v>
      </c>
      <c r="E10" s="1" t="s">
        <v>70</v>
      </c>
      <c r="F10" s="1" t="s">
        <v>3</v>
      </c>
    </row>
    <row r="11" spans="1:6" ht="51.75" customHeight="1" x14ac:dyDescent="0.25">
      <c r="A11" s="2" t="s">
        <v>4</v>
      </c>
      <c r="B11" s="2" t="s">
        <v>5</v>
      </c>
      <c r="C11" s="2" t="s">
        <v>6</v>
      </c>
      <c r="D11" s="2" t="s">
        <v>7</v>
      </c>
      <c r="E11" s="2" t="s">
        <v>8</v>
      </c>
      <c r="F11" s="2" t="s">
        <v>9</v>
      </c>
    </row>
    <row r="12" spans="1:6" ht="51.75" customHeight="1" x14ac:dyDescent="0.25">
      <c r="A12" s="48"/>
      <c r="B12" s="49"/>
      <c r="C12" s="49"/>
      <c r="D12" s="49"/>
      <c r="E12" s="49"/>
      <c r="F12" s="49"/>
    </row>
    <row r="13" spans="1:6" ht="51.75" customHeight="1" x14ac:dyDescent="0.25">
      <c r="A13" s="52" t="s">
        <v>10</v>
      </c>
      <c r="B13" s="53"/>
      <c r="C13" s="53"/>
      <c r="D13" s="53"/>
      <c r="E13" s="53"/>
    </row>
    <row r="14" spans="1:6" ht="51.75" customHeight="1" x14ac:dyDescent="0.25">
      <c r="A14" s="4" t="s">
        <v>11</v>
      </c>
      <c r="B14" s="54" t="s">
        <v>12</v>
      </c>
      <c r="C14" s="45"/>
      <c r="D14" s="4" t="s">
        <v>13</v>
      </c>
      <c r="E14" s="4" t="s">
        <v>14</v>
      </c>
    </row>
    <row r="15" spans="1:6" ht="51.75" customHeight="1" x14ac:dyDescent="0.25">
      <c r="A15" s="5" t="s">
        <v>15</v>
      </c>
      <c r="B15" s="44" t="s">
        <v>16</v>
      </c>
      <c r="C15" s="45"/>
      <c r="D15" s="7" t="s">
        <v>17</v>
      </c>
      <c r="E15" s="8" t="s">
        <v>18</v>
      </c>
    </row>
    <row r="16" spans="1:6" ht="51.75" customHeight="1" x14ac:dyDescent="0.25">
      <c r="A16" s="9" t="s">
        <v>19</v>
      </c>
      <c r="B16" s="55" t="s">
        <v>20</v>
      </c>
      <c r="C16" s="45"/>
      <c r="D16" s="11" t="s">
        <v>21</v>
      </c>
      <c r="E16" s="3" t="s">
        <v>22</v>
      </c>
    </row>
    <row r="17" spans="1:6" ht="51.75" customHeight="1" x14ac:dyDescent="0.25">
      <c r="A17" s="5" t="s">
        <v>23</v>
      </c>
      <c r="B17" s="44" t="s">
        <v>24</v>
      </c>
      <c r="C17" s="45"/>
      <c r="D17" s="7" t="s">
        <v>25</v>
      </c>
      <c r="E17" s="8" t="s">
        <v>26</v>
      </c>
    </row>
    <row r="18" spans="1:6" ht="51.75" customHeight="1" x14ac:dyDescent="0.25">
      <c r="A18" s="9" t="s">
        <v>27</v>
      </c>
      <c r="B18" s="55" t="s">
        <v>28</v>
      </c>
      <c r="C18" s="45"/>
      <c r="D18" s="11" t="s">
        <v>29</v>
      </c>
      <c r="E18" s="3" t="s">
        <v>30</v>
      </c>
    </row>
    <row r="19" spans="1:6" ht="51.75" customHeight="1" x14ac:dyDescent="0.25">
      <c r="A19" s="5" t="s">
        <v>31</v>
      </c>
      <c r="B19" s="44" t="s">
        <v>32</v>
      </c>
      <c r="C19" s="45"/>
      <c r="D19" s="7" t="s">
        <v>33</v>
      </c>
      <c r="E19" s="8" t="s">
        <v>34</v>
      </c>
    </row>
    <row r="20" spans="1:6" ht="51.75" customHeight="1" x14ac:dyDescent="0.25">
      <c r="A20" s="9" t="s">
        <v>35</v>
      </c>
      <c r="B20" s="55" t="s">
        <v>36</v>
      </c>
      <c r="C20" s="45"/>
      <c r="D20" s="11" t="s">
        <v>37</v>
      </c>
      <c r="E20" s="3" t="s">
        <v>18</v>
      </c>
    </row>
    <row r="22" spans="1:6" ht="51.75" customHeight="1" x14ac:dyDescent="0.25">
      <c r="A22" s="56"/>
      <c r="B22" s="49"/>
      <c r="C22" s="49"/>
      <c r="D22" s="49"/>
      <c r="E22" s="49"/>
      <c r="F22" s="49"/>
    </row>
    <row r="23" spans="1:6" ht="51.75" customHeight="1" x14ac:dyDescent="0.25">
      <c r="A23" s="57" t="s">
        <v>126</v>
      </c>
      <c r="B23" s="49"/>
      <c r="C23" s="49"/>
      <c r="D23" s="49"/>
      <c r="E23" s="49"/>
      <c r="F23" s="49"/>
    </row>
  </sheetData>
  <mergeCells count="15">
    <mergeCell ref="B18:C18"/>
    <mergeCell ref="B19:C19"/>
    <mergeCell ref="B20:C20"/>
    <mergeCell ref="A22:F22"/>
    <mergeCell ref="A23:F23"/>
    <mergeCell ref="B17:C17"/>
    <mergeCell ref="A5:F5"/>
    <mergeCell ref="A6:F6"/>
    <mergeCell ref="A7:F7"/>
    <mergeCell ref="A1:F4"/>
    <mergeCell ref="A13:E13"/>
    <mergeCell ref="A12:F12"/>
    <mergeCell ref="B14:C14"/>
    <mergeCell ref="B15:C15"/>
    <mergeCell ref="B16:C16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4595E1-4711-4B1D-B083-62165A6B69B9}">
          <x14:formula1>
            <xm:f>'Datos Raw'!$B$3:$B$75</xm:f>
          </x14:formula1>
          <xm:sqref>A8:F8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8"/>
  <sheetViews>
    <sheetView showGridLines="0" topLeftCell="A2" zoomScale="98" workbookViewId="0">
      <selection activeCell="A108" sqref="A108:F108"/>
    </sheetView>
  </sheetViews>
  <sheetFormatPr baseColWidth="10" defaultColWidth="18.28515625" defaultRowHeight="15" x14ac:dyDescent="0.25"/>
  <sheetData>
    <row r="1" spans="1:9" ht="27.95" customHeight="1" x14ac:dyDescent="0.25">
      <c r="A1" s="58" t="s">
        <v>38</v>
      </c>
      <c r="B1" s="49"/>
      <c r="C1" s="49"/>
      <c r="D1" s="49"/>
      <c r="E1" s="49"/>
      <c r="F1" s="49"/>
      <c r="H1" s="32" t="s">
        <v>110</v>
      </c>
      <c r="I1" s="33">
        <f>LN(B79/B7)/72</f>
        <v>4.4499643655071801E-2</v>
      </c>
    </row>
    <row r="2" spans="1:9" ht="15.95" customHeight="1" x14ac:dyDescent="0.25">
      <c r="A2" s="61" t="s">
        <v>39</v>
      </c>
      <c r="B2" s="49"/>
      <c r="C2" s="49"/>
      <c r="D2" s="49"/>
      <c r="E2" s="49"/>
      <c r="F2" s="49"/>
    </row>
    <row r="3" spans="1:9" ht="18" customHeight="1" x14ac:dyDescent="0.25">
      <c r="A3" s="60" t="s">
        <v>120</v>
      </c>
      <c r="B3" s="49"/>
      <c r="C3" s="49"/>
      <c r="D3" s="49"/>
      <c r="E3" s="49"/>
      <c r="F3" s="49"/>
    </row>
    <row r="4" spans="1:9" ht="24" customHeight="1" x14ac:dyDescent="0.25">
      <c r="A4" s="59" t="s">
        <v>40</v>
      </c>
      <c r="B4" s="49"/>
      <c r="C4" s="49"/>
      <c r="D4" s="49"/>
      <c r="E4" s="49"/>
      <c r="F4" s="49"/>
    </row>
    <row r="5" spans="1:9" ht="6" customHeight="1" x14ac:dyDescent="0.25"/>
    <row r="6" spans="1:9" ht="20.100000000000001" customHeight="1" x14ac:dyDescent="0.25">
      <c r="A6" s="12" t="s">
        <v>41</v>
      </c>
      <c r="B6" s="12" t="s">
        <v>42</v>
      </c>
      <c r="C6" s="12" t="s">
        <v>122</v>
      </c>
      <c r="D6" s="12" t="s">
        <v>123</v>
      </c>
      <c r="E6" s="12" t="s">
        <v>43</v>
      </c>
      <c r="F6" s="12" t="s">
        <v>114</v>
      </c>
    </row>
    <row r="7" spans="1:9" ht="14.1" customHeight="1" x14ac:dyDescent="0.25">
      <c r="A7" s="13">
        <v>1951</v>
      </c>
      <c r="B7" s="14">
        <v>5267.135825071352</v>
      </c>
      <c r="C7" s="14">
        <f>LN(B7)</f>
        <v>8.5692420070892474</v>
      </c>
      <c r="D7" s="14"/>
      <c r="E7" s="14">
        <v>5267.135825071352</v>
      </c>
      <c r="F7" s="14">
        <f>LN(E7)</f>
        <v>8.5692420070892474</v>
      </c>
    </row>
    <row r="8" spans="1:9" ht="14.1" customHeight="1" x14ac:dyDescent="0.25">
      <c r="A8" s="1">
        <v>1952</v>
      </c>
      <c r="B8" s="15">
        <v>6009.5031220936407</v>
      </c>
      <c r="C8" s="15">
        <f t="shared" ref="C8:C71" si="0">LN(B8)</f>
        <v>8.7010973489190651</v>
      </c>
      <c r="D8" s="15"/>
      <c r="E8" s="15">
        <f>E7*(1+$I$1)</f>
        <v>5501.5214923698895</v>
      </c>
      <c r="F8" s="15">
        <f t="shared" ref="F8:F71" si="1">LN(E8)</f>
        <v>8.6127799679405062</v>
      </c>
    </row>
    <row r="9" spans="1:9" ht="14.1" customHeight="1" x14ac:dyDescent="0.25">
      <c r="A9" s="13">
        <v>1953</v>
      </c>
      <c r="B9" s="14">
        <v>6465.451371625205</v>
      </c>
      <c r="C9" s="14">
        <f t="shared" si="0"/>
        <v>8.7742281064989296</v>
      </c>
      <c r="D9" s="14"/>
      <c r="E9" s="14">
        <f t="shared" ref="E9:E72" si="2">E8*(1+$I$1)</f>
        <v>5746.3372383410679</v>
      </c>
      <c r="F9" s="14">
        <f t="shared" si="1"/>
        <v>8.6563179287917631</v>
      </c>
    </row>
    <row r="10" spans="1:9" ht="14.1" customHeight="1" x14ac:dyDescent="0.25">
      <c r="A10" s="1">
        <v>1954</v>
      </c>
      <c r="B10" s="15">
        <v>6781.2428678294082</v>
      </c>
      <c r="C10" s="15">
        <f t="shared" si="0"/>
        <v>8.8219156779736583</v>
      </c>
      <c r="D10" s="15"/>
      <c r="E10" s="15">
        <f t="shared" si="2"/>
        <v>6002.0471977691141</v>
      </c>
      <c r="F10" s="15">
        <f t="shared" si="1"/>
        <v>8.6998558896430218</v>
      </c>
    </row>
    <row r="11" spans="1:9" ht="14.1" customHeight="1" x14ac:dyDescent="0.25">
      <c r="A11" s="13">
        <v>1955</v>
      </c>
      <c r="B11" s="14">
        <v>7101.6132411083927</v>
      </c>
      <c r="C11" s="14">
        <f t="shared" si="0"/>
        <v>8.8680772542770416</v>
      </c>
      <c r="D11" s="14"/>
      <c r="E11" s="14">
        <f t="shared" si="2"/>
        <v>6269.1361592707617</v>
      </c>
      <c r="F11" s="14">
        <f t="shared" si="1"/>
        <v>8.7433938504942805</v>
      </c>
    </row>
    <row r="12" spans="1:9" ht="14.1" customHeight="1" x14ac:dyDescent="0.25">
      <c r="A12" s="1">
        <v>1956</v>
      </c>
      <c r="B12" s="15">
        <v>7349.7409859416766</v>
      </c>
      <c r="C12" s="15">
        <f t="shared" si="0"/>
        <v>8.9024203515780034</v>
      </c>
      <c r="D12" s="15"/>
      <c r="E12" s="15">
        <f t="shared" si="2"/>
        <v>6548.1104843834355</v>
      </c>
      <c r="F12" s="15">
        <f t="shared" si="1"/>
        <v>8.7869318113455375</v>
      </c>
    </row>
    <row r="13" spans="1:9" ht="14.1" customHeight="1" x14ac:dyDescent="0.25">
      <c r="A13" s="13">
        <v>1957</v>
      </c>
      <c r="B13" s="14">
        <v>7803.9798068356213</v>
      </c>
      <c r="C13" s="14">
        <f t="shared" si="0"/>
        <v>8.9623891141993699</v>
      </c>
      <c r="D13" s="14"/>
      <c r="E13" s="14">
        <f t="shared" si="2"/>
        <v>6839.4990675525378</v>
      </c>
      <c r="F13" s="14">
        <f t="shared" si="1"/>
        <v>8.8304697721967962</v>
      </c>
    </row>
    <row r="14" spans="1:9" ht="14.1" customHeight="1" x14ac:dyDescent="0.25">
      <c r="A14" s="1">
        <v>1958</v>
      </c>
      <c r="B14" s="15">
        <v>8135.9574820124699</v>
      </c>
      <c r="C14" s="15">
        <f t="shared" si="0"/>
        <v>9.0040487118067354</v>
      </c>
      <c r="D14" s="15"/>
      <c r="E14" s="15">
        <f t="shared" si="2"/>
        <v>7143.8543388378212</v>
      </c>
      <c r="F14" s="15">
        <f t="shared" si="1"/>
        <v>8.8740077330480531</v>
      </c>
    </row>
    <row r="15" spans="1:9" ht="14.1" customHeight="1" x14ac:dyDescent="0.25">
      <c r="A15" s="13">
        <v>1959</v>
      </c>
      <c r="B15" s="14">
        <v>8487.8080509216852</v>
      </c>
      <c r="C15" s="14">
        <f t="shared" si="0"/>
        <v>9.0463860658677202</v>
      </c>
      <c r="D15" s="14"/>
      <c r="E15" s="14">
        <f t="shared" si="2"/>
        <v>7461.7533112398423</v>
      </c>
      <c r="F15" s="14">
        <f t="shared" si="1"/>
        <v>8.9175456938993118</v>
      </c>
    </row>
    <row r="16" spans="1:9" ht="14.1" customHeight="1" x14ac:dyDescent="0.25">
      <c r="A16" s="1">
        <v>1960</v>
      </c>
      <c r="B16" s="15">
        <v>8912.3843028477968</v>
      </c>
      <c r="C16" s="15">
        <f t="shared" si="0"/>
        <v>9.095197083190639</v>
      </c>
      <c r="D16" s="15"/>
      <c r="E16" s="15">
        <f t="shared" si="2"/>
        <v>7793.7986746320666</v>
      </c>
      <c r="F16" s="15">
        <f t="shared" si="1"/>
        <v>8.9610836547505688</v>
      </c>
    </row>
    <row r="17" spans="1:6" ht="14.1" customHeight="1" x14ac:dyDescent="0.25">
      <c r="A17" s="13">
        <v>1961</v>
      </c>
      <c r="B17" s="14">
        <v>9394.3890660339075</v>
      </c>
      <c r="C17" s="14">
        <f t="shared" si="0"/>
        <v>9.147867882168935</v>
      </c>
      <c r="D17" s="14"/>
      <c r="E17" s="14">
        <f t="shared" si="2"/>
        <v>8140.6199383725643</v>
      </c>
      <c r="F17" s="14">
        <f t="shared" si="1"/>
        <v>9.0046216156018275</v>
      </c>
    </row>
    <row r="18" spans="1:6" ht="14.1" customHeight="1" x14ac:dyDescent="0.25">
      <c r="A18" s="1">
        <v>1962</v>
      </c>
      <c r="B18" s="15">
        <v>9889.8925131145916</v>
      </c>
      <c r="C18" s="15">
        <f t="shared" si="0"/>
        <v>9.1992685563185255</v>
      </c>
      <c r="D18" s="15"/>
      <c r="E18" s="15">
        <f t="shared" si="2"/>
        <v>8502.8746247615163</v>
      </c>
      <c r="F18" s="15">
        <f t="shared" si="1"/>
        <v>9.0481595764530844</v>
      </c>
    </row>
    <row r="19" spans="1:6" ht="14.1" customHeight="1" x14ac:dyDescent="0.25">
      <c r="A19" s="13">
        <v>1963</v>
      </c>
      <c r="B19" s="14">
        <v>10782.33790356916</v>
      </c>
      <c r="C19" s="14">
        <f t="shared" si="0"/>
        <v>9.2856646951207207</v>
      </c>
      <c r="D19" s="14"/>
      <c r="E19" s="14">
        <f t="shared" si="2"/>
        <v>8881.2495156071564</v>
      </c>
      <c r="F19" s="14">
        <f t="shared" si="1"/>
        <v>9.0916975373043432</v>
      </c>
    </row>
    <row r="20" spans="1:6" ht="14.1" customHeight="1" x14ac:dyDescent="0.25">
      <c r="A20" s="1">
        <v>1964</v>
      </c>
      <c r="B20" s="15">
        <v>12201.10787753281</v>
      </c>
      <c r="C20" s="15">
        <f t="shared" si="0"/>
        <v>9.4092820362322396</v>
      </c>
      <c r="D20" s="15"/>
      <c r="E20" s="15">
        <f t="shared" si="2"/>
        <v>9276.4619542634537</v>
      </c>
      <c r="F20" s="15">
        <f t="shared" si="1"/>
        <v>9.1352354981556019</v>
      </c>
    </row>
    <row r="21" spans="1:6" ht="14.1" customHeight="1" x14ac:dyDescent="0.25">
      <c r="A21" s="13">
        <v>1965</v>
      </c>
      <c r="B21" s="14">
        <v>13310.59687711386</v>
      </c>
      <c r="C21" s="14">
        <f t="shared" si="0"/>
        <v>9.4963157546446801</v>
      </c>
      <c r="D21" s="14"/>
      <c r="E21" s="14">
        <f t="shared" si="2"/>
        <v>9689.261205608007</v>
      </c>
      <c r="F21" s="14">
        <f t="shared" si="1"/>
        <v>9.1787734590068588</v>
      </c>
    </row>
    <row r="22" spans="1:6" ht="14.1" customHeight="1" x14ac:dyDescent="0.25">
      <c r="A22" s="1">
        <v>1966</v>
      </c>
      <c r="B22" s="15">
        <v>14225.57418855578</v>
      </c>
      <c r="C22" s="15">
        <f t="shared" si="0"/>
        <v>9.5627966229289854</v>
      </c>
      <c r="D22" s="15"/>
      <c r="E22" s="15">
        <f t="shared" si="2"/>
        <v>10120.429876538474</v>
      </c>
      <c r="F22" s="15">
        <f t="shared" si="1"/>
        <v>9.2223114198581175</v>
      </c>
    </row>
    <row r="23" spans="1:6" ht="14.1" customHeight="1" x14ac:dyDescent="0.25">
      <c r="A23" s="13">
        <v>1967</v>
      </c>
      <c r="B23" s="14">
        <v>15182.27896404793</v>
      </c>
      <c r="C23" s="14">
        <f t="shared" si="0"/>
        <v>9.6278841690652541</v>
      </c>
      <c r="D23" s="14"/>
      <c r="E23" s="14">
        <f t="shared" si="2"/>
        <v>10570.785399680577</v>
      </c>
      <c r="F23" s="14">
        <f t="shared" si="1"/>
        <v>9.2658493807093745</v>
      </c>
    </row>
    <row r="24" spans="1:6" ht="14.1" customHeight="1" x14ac:dyDescent="0.25">
      <c r="A24" s="1">
        <v>1968</v>
      </c>
      <c r="B24" s="15">
        <v>16166.84526942668</v>
      </c>
      <c r="C24" s="15">
        <f t="shared" si="0"/>
        <v>9.6907178357898438</v>
      </c>
      <c r="D24" s="15"/>
      <c r="E24" s="15">
        <f t="shared" si="2"/>
        <v>11041.181583120599</v>
      </c>
      <c r="F24" s="15">
        <f t="shared" si="1"/>
        <v>9.3093873415606332</v>
      </c>
    </row>
    <row r="25" spans="1:6" ht="14.1" customHeight="1" x14ac:dyDescent="0.25">
      <c r="A25" s="13">
        <v>1969</v>
      </c>
      <c r="B25" s="14">
        <v>17358.891303093558</v>
      </c>
      <c r="C25" s="14">
        <f t="shared" si="0"/>
        <v>9.7618601211457108</v>
      </c>
      <c r="D25" s="14"/>
      <c r="E25" s="14">
        <f t="shared" si="2"/>
        <v>11532.510229100406</v>
      </c>
      <c r="F25" s="14">
        <f t="shared" si="1"/>
        <v>9.3529253024118901</v>
      </c>
    </row>
    <row r="26" spans="1:6" ht="14.1" customHeight="1" x14ac:dyDescent="0.25">
      <c r="A26" s="1">
        <v>1970</v>
      </c>
      <c r="B26" s="15">
        <v>18991.90085982345</v>
      </c>
      <c r="C26" s="15">
        <f t="shared" si="0"/>
        <v>9.8517678967338576</v>
      </c>
      <c r="D26" s="15"/>
      <c r="E26" s="15">
        <f t="shared" si="2"/>
        <v>12045.702824743845</v>
      </c>
      <c r="F26" s="15">
        <f t="shared" si="1"/>
        <v>9.3964632632631488</v>
      </c>
    </row>
    <row r="27" spans="1:6" ht="14.1" customHeight="1" x14ac:dyDescent="0.25">
      <c r="A27" s="13">
        <v>1971</v>
      </c>
      <c r="B27" s="14">
        <v>20981.26970690798</v>
      </c>
      <c r="C27" s="14">
        <f t="shared" si="0"/>
        <v>9.9513853999907216</v>
      </c>
      <c r="D27" s="14"/>
      <c r="E27" s="14">
        <f t="shared" si="2"/>
        <v>12581.732308019837</v>
      </c>
      <c r="F27" s="14">
        <f t="shared" si="1"/>
        <v>9.4400012241144058</v>
      </c>
    </row>
    <row r="28" spans="1:6" ht="14.1" customHeight="1" x14ac:dyDescent="0.25">
      <c r="A28" s="1">
        <v>1972</v>
      </c>
      <c r="B28" s="15">
        <v>23217.821554585851</v>
      </c>
      <c r="C28" s="15">
        <f t="shared" si="0"/>
        <v>10.052675433218772</v>
      </c>
      <c r="D28" s="15"/>
      <c r="E28" s="15">
        <f t="shared" si="2"/>
        <v>13141.614912290222</v>
      </c>
      <c r="F28" s="15">
        <f t="shared" si="1"/>
        <v>9.4835391849656645</v>
      </c>
    </row>
    <row r="29" spans="1:6" ht="14.1" customHeight="1" x14ac:dyDescent="0.25">
      <c r="A29" s="13">
        <v>1973</v>
      </c>
      <c r="B29" s="14">
        <v>24298.0492537428</v>
      </c>
      <c r="C29" s="14">
        <f t="shared" si="0"/>
        <v>10.098151348482466</v>
      </c>
      <c r="D29" s="14"/>
      <c r="E29" s="14">
        <f t="shared" si="2"/>
        <v>13726.412092939314</v>
      </c>
      <c r="F29" s="14">
        <f t="shared" si="1"/>
        <v>9.5270771458169214</v>
      </c>
    </row>
    <row r="30" spans="1:6" ht="14.1" customHeight="1" x14ac:dyDescent="0.25">
      <c r="A30" s="1">
        <v>1974</v>
      </c>
      <c r="B30" s="15">
        <v>23001.782970094438</v>
      </c>
      <c r="C30" s="15">
        <f t="shared" si="0"/>
        <v>10.043327012345621</v>
      </c>
      <c r="D30" s="15"/>
      <c r="E30" s="15">
        <f t="shared" si="2"/>
        <v>14337.232539737781</v>
      </c>
      <c r="F30" s="15">
        <f t="shared" si="1"/>
        <v>9.5706151066681802</v>
      </c>
    </row>
    <row r="31" spans="1:6" ht="14.1" customHeight="1" x14ac:dyDescent="0.25">
      <c r="A31" s="13">
        <v>1975</v>
      </c>
      <c r="B31" s="14">
        <v>23609.365862555798</v>
      </c>
      <c r="C31" s="14">
        <f t="shared" si="0"/>
        <v>10.069398770869036</v>
      </c>
      <c r="D31" s="14"/>
      <c r="E31" s="14">
        <f t="shared" si="2"/>
        <v>14975.234278756012</v>
      </c>
      <c r="F31" s="14">
        <f t="shared" si="1"/>
        <v>9.6141530675194389</v>
      </c>
    </row>
    <row r="32" spans="1:6" ht="14.1" customHeight="1" x14ac:dyDescent="0.25">
      <c r="A32" s="1">
        <v>1976</v>
      </c>
      <c r="B32" s="15">
        <v>27252.078716522101</v>
      </c>
      <c r="C32" s="15">
        <f t="shared" si="0"/>
        <v>10.212885080357101</v>
      </c>
      <c r="D32" s="15"/>
      <c r="E32" s="15">
        <f t="shared" si="2"/>
        <v>15641.62686781187</v>
      </c>
      <c r="F32" s="15">
        <f t="shared" si="1"/>
        <v>9.6576910283706958</v>
      </c>
    </row>
    <row r="33" spans="1:6" ht="14.1" customHeight="1" x14ac:dyDescent="0.25">
      <c r="A33" s="13">
        <v>1977</v>
      </c>
      <c r="B33" s="14">
        <v>28366.019443062469</v>
      </c>
      <c r="C33" s="14">
        <f t="shared" si="0"/>
        <v>10.252947209289786</v>
      </c>
      <c r="D33" s="14"/>
      <c r="E33" s="14">
        <f t="shared" si="2"/>
        <v>16337.673689615094</v>
      </c>
      <c r="F33" s="14">
        <f t="shared" si="1"/>
        <v>9.7012289892219545</v>
      </c>
    </row>
    <row r="34" spans="1:6" ht="14.1" customHeight="1" x14ac:dyDescent="0.25">
      <c r="A34" s="1">
        <v>1978</v>
      </c>
      <c r="B34" s="15">
        <v>30746.208513956601</v>
      </c>
      <c r="C34" s="15">
        <f t="shared" si="0"/>
        <v>10.333521965273414</v>
      </c>
      <c r="D34" s="15"/>
      <c r="E34" s="15">
        <f t="shared" si="2"/>
        <v>17064.694346955806</v>
      </c>
      <c r="F34" s="15">
        <f t="shared" si="1"/>
        <v>9.7447669500732115</v>
      </c>
    </row>
    <row r="35" spans="1:6" ht="14.1" customHeight="1" x14ac:dyDescent="0.25">
      <c r="A35" s="13">
        <v>1979</v>
      </c>
      <c r="B35" s="14">
        <v>31912.653960652609</v>
      </c>
      <c r="C35" s="14">
        <f t="shared" si="0"/>
        <v>10.370757886000385</v>
      </c>
      <c r="D35" s="14"/>
      <c r="E35" s="14">
        <f t="shared" si="2"/>
        <v>17824.067164478056</v>
      </c>
      <c r="F35" s="14">
        <f t="shared" si="1"/>
        <v>9.7883049109244702</v>
      </c>
    </row>
    <row r="36" spans="1:6" ht="14.1" customHeight="1" x14ac:dyDescent="0.25">
      <c r="A36" s="1">
        <v>1980</v>
      </c>
      <c r="B36" s="15">
        <v>32895.016339853442</v>
      </c>
      <c r="C36" s="15">
        <f t="shared" si="0"/>
        <v>10.401076446247545</v>
      </c>
      <c r="D36" s="15"/>
      <c r="E36" s="15">
        <f t="shared" si="2"/>
        <v>18617.231801781396</v>
      </c>
      <c r="F36" s="15">
        <f t="shared" si="1"/>
        <v>9.8318428717757271</v>
      </c>
    </row>
    <row r="37" spans="1:6" ht="14.1" customHeight="1" x14ac:dyDescent="0.25">
      <c r="A37" s="13">
        <v>1981</v>
      </c>
      <c r="B37" s="14">
        <v>34507.52806995326</v>
      </c>
      <c r="C37" s="14">
        <f t="shared" si="0"/>
        <v>10.4489327841424</v>
      </c>
      <c r="D37" s="14"/>
      <c r="E37" s="14">
        <f t="shared" si="2"/>
        <v>19445.691982804536</v>
      </c>
      <c r="F37" s="14">
        <f t="shared" si="1"/>
        <v>9.8753808326269858</v>
      </c>
    </row>
    <row r="38" spans="1:6" ht="14.1" customHeight="1" x14ac:dyDescent="0.25">
      <c r="A38" s="1">
        <v>1982</v>
      </c>
      <c r="B38" s="15">
        <v>35366.171296567903</v>
      </c>
      <c r="C38" s="15">
        <f t="shared" si="0"/>
        <v>10.473511029141278</v>
      </c>
      <c r="D38" s="15"/>
      <c r="E38" s="15">
        <f t="shared" si="2"/>
        <v>20311.018346665624</v>
      </c>
      <c r="F38" s="15">
        <f t="shared" si="1"/>
        <v>9.9189187934782428</v>
      </c>
    </row>
    <row r="39" spans="1:6" ht="14.1" customHeight="1" x14ac:dyDescent="0.25">
      <c r="A39" s="13">
        <v>1983</v>
      </c>
      <c r="B39" s="14">
        <v>36959.555090063172</v>
      </c>
      <c r="C39" s="14">
        <f t="shared" si="0"/>
        <v>10.517579488076652</v>
      </c>
      <c r="D39" s="14"/>
      <c r="E39" s="14">
        <f t="shared" si="2"/>
        <v>21214.851425363868</v>
      </c>
      <c r="F39" s="14">
        <f t="shared" si="1"/>
        <v>9.9624567543295015</v>
      </c>
    </row>
    <row r="40" spans="1:6" ht="14.1" customHeight="1" x14ac:dyDescent="0.25">
      <c r="A40" s="1">
        <v>1984</v>
      </c>
      <c r="B40" s="15">
        <v>39053.041436053078</v>
      </c>
      <c r="C40" s="15">
        <f t="shared" si="0"/>
        <v>10.572676037921278</v>
      </c>
      <c r="D40" s="15"/>
      <c r="E40" s="15">
        <f t="shared" si="2"/>
        <v>22158.904753987852</v>
      </c>
      <c r="F40" s="15">
        <f t="shared" si="1"/>
        <v>10.00599471518076</v>
      </c>
    </row>
    <row r="41" spans="1:6" ht="14.1" customHeight="1" x14ac:dyDescent="0.25">
      <c r="A41" s="13">
        <v>1985</v>
      </c>
      <c r="B41" s="14">
        <v>40170.72869542116</v>
      </c>
      <c r="C41" s="14">
        <f t="shared" si="0"/>
        <v>10.600893867478094</v>
      </c>
      <c r="D41" s="14"/>
      <c r="E41" s="14">
        <f t="shared" si="2"/>
        <v>23144.968119326986</v>
      </c>
      <c r="F41" s="14">
        <f t="shared" si="1"/>
        <v>10.049532676032017</v>
      </c>
    </row>
    <row r="42" spans="1:6" ht="14.1" customHeight="1" x14ac:dyDescent="0.25">
      <c r="A42" s="1">
        <v>1986</v>
      </c>
      <c r="B42" s="15">
        <v>43814.990435102278</v>
      </c>
      <c r="C42" s="15">
        <f t="shared" si="0"/>
        <v>10.687731285188027</v>
      </c>
      <c r="D42" s="15"/>
      <c r="E42" s="15">
        <f t="shared" si="2"/>
        <v>24174.910953045033</v>
      </c>
      <c r="F42" s="15">
        <f t="shared" si="1"/>
        <v>10.093070636883276</v>
      </c>
    </row>
    <row r="43" spans="1:6" ht="14.1" customHeight="1" x14ac:dyDescent="0.25">
      <c r="A43" s="13">
        <v>1987</v>
      </c>
      <c r="B43" s="14">
        <v>46936.882449988567</v>
      </c>
      <c r="C43" s="14">
        <f t="shared" si="0"/>
        <v>10.756559051562171</v>
      </c>
      <c r="D43" s="14"/>
      <c r="E43" s="14">
        <f t="shared" si="2"/>
        <v>25250.685875848627</v>
      </c>
      <c r="F43" s="14">
        <f t="shared" si="1"/>
        <v>10.136608597734533</v>
      </c>
    </row>
    <row r="44" spans="1:6" ht="14.1" customHeight="1" x14ac:dyDescent="0.25">
      <c r="A44" s="1">
        <v>1988</v>
      </c>
      <c r="B44" s="15">
        <v>49016.23890035339</v>
      </c>
      <c r="C44" s="15">
        <f t="shared" si="0"/>
        <v>10.799906928319544</v>
      </c>
      <c r="D44" s="15"/>
      <c r="E44" s="15">
        <f t="shared" si="2"/>
        <v>26374.332399370043</v>
      </c>
      <c r="F44" s="15">
        <f t="shared" si="1"/>
        <v>10.180146558585792</v>
      </c>
    </row>
    <row r="45" spans="1:6" ht="14.1" customHeight="1" x14ac:dyDescent="0.25">
      <c r="A45" s="13">
        <v>1989</v>
      </c>
      <c r="B45" s="14">
        <v>52517.624875427893</v>
      </c>
      <c r="C45" s="14">
        <f t="shared" si="0"/>
        <v>10.868904104153993</v>
      </c>
      <c r="D45" s="14"/>
      <c r="E45" s="14">
        <f t="shared" si="2"/>
        <v>27547.980792782422</v>
      </c>
      <c r="F45" s="14">
        <f t="shared" si="1"/>
        <v>10.223684519437048</v>
      </c>
    </row>
    <row r="46" spans="1:6" ht="14.1" customHeight="1" x14ac:dyDescent="0.25">
      <c r="A46" s="1">
        <v>1990</v>
      </c>
      <c r="B46" s="15">
        <v>55392.365930593798</v>
      </c>
      <c r="C46" s="15">
        <f t="shared" si="0"/>
        <v>10.922197064153455</v>
      </c>
      <c r="D46" s="15"/>
      <c r="E46" s="15">
        <f t="shared" si="2"/>
        <v>28773.856121478002</v>
      </c>
      <c r="F46" s="15">
        <f t="shared" si="1"/>
        <v>10.267222480288307</v>
      </c>
    </row>
    <row r="47" spans="1:6" ht="14.1" customHeight="1" x14ac:dyDescent="0.25">
      <c r="A47" s="13">
        <v>1991</v>
      </c>
      <c r="B47" s="14">
        <v>59276.46445417824</v>
      </c>
      <c r="C47" s="14">
        <f t="shared" si="0"/>
        <v>10.989967616730116</v>
      </c>
      <c r="D47" s="14"/>
      <c r="E47" s="14">
        <f t="shared" si="2"/>
        <v>30054.28246546608</v>
      </c>
      <c r="F47" s="14">
        <f t="shared" si="1"/>
        <v>10.310760441139564</v>
      </c>
    </row>
    <row r="48" spans="1:6" ht="14.1" customHeight="1" x14ac:dyDescent="0.25">
      <c r="A48" s="1">
        <v>1992</v>
      </c>
      <c r="B48" s="15">
        <v>61878.651464298237</v>
      </c>
      <c r="C48" s="15">
        <f t="shared" si="0"/>
        <v>11.032930511694175</v>
      </c>
      <c r="D48" s="15"/>
      <c r="E48" s="15">
        <f t="shared" si="2"/>
        <v>31391.68732548819</v>
      </c>
      <c r="F48" s="15">
        <f t="shared" si="1"/>
        <v>10.354298401990823</v>
      </c>
    </row>
    <row r="49" spans="1:6" ht="14.1" customHeight="1" x14ac:dyDescent="0.25">
      <c r="A49" s="13">
        <v>1993</v>
      </c>
      <c r="B49" s="14">
        <v>65238.468914413163</v>
      </c>
      <c r="C49" s="14">
        <f t="shared" si="0"/>
        <v>11.085804587949646</v>
      </c>
      <c r="D49" s="14"/>
      <c r="E49" s="14">
        <f t="shared" si="2"/>
        <v>32788.606225203846</v>
      </c>
      <c r="F49" s="14">
        <f t="shared" si="1"/>
        <v>10.39783636284208</v>
      </c>
    </row>
    <row r="50" spans="1:6" ht="14.1" customHeight="1" x14ac:dyDescent="0.25">
      <c r="A50" s="1">
        <v>1994</v>
      </c>
      <c r="B50" s="15">
        <v>68210.602477422304</v>
      </c>
      <c r="C50" s="15">
        <f t="shared" si="0"/>
        <v>11.130355293294441</v>
      </c>
      <c r="D50" s="15"/>
      <c r="E50" s="15">
        <f t="shared" si="2"/>
        <v>34247.687518171886</v>
      </c>
      <c r="F50" s="15">
        <f t="shared" si="1"/>
        <v>10.441374323693339</v>
      </c>
    </row>
    <row r="51" spans="1:6" ht="14.1" customHeight="1" x14ac:dyDescent="0.25">
      <c r="A51" s="13">
        <v>1995</v>
      </c>
      <c r="B51" s="14">
        <v>71370.935468673342</v>
      </c>
      <c r="C51" s="14">
        <f t="shared" si="0"/>
        <v>11.175645999188633</v>
      </c>
      <c r="D51" s="14"/>
      <c r="E51" s="14">
        <f t="shared" si="2"/>
        <v>35771.697408740787</v>
      </c>
      <c r="F51" s="14">
        <f t="shared" si="1"/>
        <v>10.484912284544597</v>
      </c>
    </row>
    <row r="52" spans="1:6" ht="14.1" customHeight="1" x14ac:dyDescent="0.25">
      <c r="A52" s="1">
        <v>1996</v>
      </c>
      <c r="B52" s="15">
        <v>77459.988355771944</v>
      </c>
      <c r="C52" s="15">
        <f t="shared" si="0"/>
        <v>11.257516802743041</v>
      </c>
      <c r="D52" s="15"/>
      <c r="E52" s="15">
        <f t="shared" si="2"/>
        <v>37363.525196366805</v>
      </c>
      <c r="F52" s="15">
        <f t="shared" si="1"/>
        <v>10.528450245395854</v>
      </c>
    </row>
    <row r="53" spans="1:6" ht="14.1" customHeight="1" x14ac:dyDescent="0.25">
      <c r="A53" s="13">
        <v>1997</v>
      </c>
      <c r="B53" s="14">
        <v>81643.197717289877</v>
      </c>
      <c r="C53" s="14">
        <f t="shared" si="0"/>
        <v>11.310113784668349</v>
      </c>
      <c r="D53" s="14"/>
      <c r="E53" s="14">
        <f t="shared" si="2"/>
        <v>39026.18875330242</v>
      </c>
      <c r="F53" s="14">
        <f t="shared" si="1"/>
        <v>10.571988206247113</v>
      </c>
    </row>
    <row r="54" spans="1:6" ht="14.1" customHeight="1" x14ac:dyDescent="0.25">
      <c r="A54" s="1">
        <v>1998</v>
      </c>
      <c r="B54" s="15">
        <v>85883.793714392668</v>
      </c>
      <c r="C54" s="15">
        <f t="shared" si="0"/>
        <v>11.360750425614075</v>
      </c>
      <c r="D54" s="15"/>
      <c r="E54" s="15">
        <f t="shared" si="2"/>
        <v>40762.840246039945</v>
      </c>
      <c r="F54" s="15">
        <f t="shared" si="1"/>
        <v>10.61552616709837</v>
      </c>
    </row>
    <row r="55" spans="1:6" ht="14.1" customHeight="1" x14ac:dyDescent="0.25">
      <c r="A55" s="13">
        <v>1999</v>
      </c>
      <c r="B55" s="14">
        <v>89188.639219773482</v>
      </c>
      <c r="C55" s="14">
        <f t="shared" si="0"/>
        <v>11.39850894744972</v>
      </c>
      <c r="D55" s="14"/>
      <c r="E55" s="14">
        <f t="shared" si="2"/>
        <v>42576.772111357343</v>
      </c>
      <c r="F55" s="14">
        <f t="shared" si="1"/>
        <v>10.659064127949629</v>
      </c>
    </row>
    <row r="56" spans="1:6" ht="14.1" customHeight="1" x14ac:dyDescent="0.25">
      <c r="A56" s="1">
        <v>2000</v>
      </c>
      <c r="B56" s="15">
        <v>91597.700103836323</v>
      </c>
      <c r="C56" s="15">
        <f t="shared" si="0"/>
        <v>11.425161442310289</v>
      </c>
      <c r="D56" s="15"/>
      <c r="E56" s="15">
        <f t="shared" si="2"/>
        <v>44471.423298295944</v>
      </c>
      <c r="F56" s="15">
        <f t="shared" si="1"/>
        <v>10.702602088800885</v>
      </c>
    </row>
    <row r="57" spans="1:6" ht="14.1" customHeight="1" x14ac:dyDescent="0.25">
      <c r="A57" s="13">
        <v>2001</v>
      </c>
      <c r="B57" s="14">
        <v>92364.995794800954</v>
      </c>
      <c r="C57" s="14">
        <f t="shared" si="0"/>
        <v>11.43350335246468</v>
      </c>
      <c r="D57" s="14"/>
      <c r="E57" s="14">
        <f t="shared" si="2"/>
        <v>46450.385787903972</v>
      </c>
      <c r="F57" s="14">
        <f t="shared" si="1"/>
        <v>10.746140049652144</v>
      </c>
    </row>
    <row r="58" spans="1:6" ht="14.1" customHeight="1" x14ac:dyDescent="0.25">
      <c r="A58" s="1">
        <v>2002</v>
      </c>
      <c r="B58" s="15">
        <v>95776.150082617882</v>
      </c>
      <c r="C58" s="15">
        <f t="shared" si="0"/>
        <v>11.469768977668174</v>
      </c>
      <c r="D58" s="15"/>
      <c r="E58" s="15">
        <f t="shared" si="2"/>
        <v>48517.411403106307</v>
      </c>
      <c r="F58" s="15">
        <f t="shared" si="1"/>
        <v>10.789678010503403</v>
      </c>
    </row>
    <row r="59" spans="1:6" ht="14.1" customHeight="1" x14ac:dyDescent="0.25">
      <c r="A59" s="13">
        <v>2003</v>
      </c>
      <c r="B59" s="14">
        <v>96633.742233618701</v>
      </c>
      <c r="C59" s="14">
        <f t="shared" si="0"/>
        <v>11.478683257694762</v>
      </c>
      <c r="D59" s="14"/>
      <c r="E59" s="14">
        <f t="shared" si="2"/>
        <v>50676.418921611054</v>
      </c>
      <c r="F59" s="14">
        <f t="shared" si="1"/>
        <v>10.83321597135466</v>
      </c>
    </row>
    <row r="60" spans="1:6" ht="14.1" customHeight="1" x14ac:dyDescent="0.25">
      <c r="A60" s="1">
        <v>2004</v>
      </c>
      <c r="B60" s="15">
        <v>97823.421900319081</v>
      </c>
      <c r="C60" s="15">
        <f t="shared" si="0"/>
        <v>11.490919315083623</v>
      </c>
      <c r="D60" s="15"/>
      <c r="E60" s="15">
        <f t="shared" si="2"/>
        <v>52931.501505337881</v>
      </c>
      <c r="F60" s="15">
        <f t="shared" si="1"/>
        <v>10.876753932205919</v>
      </c>
    </row>
    <row r="61" spans="1:6" ht="14.1" customHeight="1" x14ac:dyDescent="0.25">
      <c r="A61" s="13">
        <v>2005</v>
      </c>
      <c r="B61" s="14">
        <v>99079.242007233901</v>
      </c>
      <c r="C61" s="14">
        <f t="shared" si="0"/>
        <v>11.503675233263515</v>
      </c>
      <c r="D61" s="14"/>
      <c r="E61" s="14">
        <f t="shared" si="2"/>
        <v>55286.934460453311</v>
      </c>
      <c r="F61" s="14">
        <f t="shared" si="1"/>
        <v>10.920291893057176</v>
      </c>
    </row>
    <row r="62" spans="1:6" ht="14.1" customHeight="1" x14ac:dyDescent="0.25">
      <c r="A62" s="1">
        <v>2006</v>
      </c>
      <c r="B62" s="15">
        <v>100693.8771540787</v>
      </c>
      <c r="C62" s="15">
        <f t="shared" si="0"/>
        <v>11.519840274018749</v>
      </c>
      <c r="D62" s="15"/>
      <c r="E62" s="15">
        <f t="shared" si="2"/>
        <v>57747.183342724791</v>
      </c>
      <c r="F62" s="15">
        <f t="shared" si="1"/>
        <v>10.963829853908434</v>
      </c>
    </row>
    <row r="63" spans="1:6" ht="14.1" customHeight="1" x14ac:dyDescent="0.25">
      <c r="A63" s="13">
        <v>2007</v>
      </c>
      <c r="B63" s="14">
        <v>103846.9822686017</v>
      </c>
      <c r="C63" s="14">
        <f t="shared" si="0"/>
        <v>11.550673770322605</v>
      </c>
      <c r="D63" s="14"/>
      <c r="E63" s="14">
        <f t="shared" si="2"/>
        <v>60316.912423560141</v>
      </c>
      <c r="F63" s="14">
        <f t="shared" si="1"/>
        <v>11.007367814759691</v>
      </c>
    </row>
    <row r="64" spans="1:6" ht="14.1" customHeight="1" x14ac:dyDescent="0.25">
      <c r="A64" s="1">
        <v>2008</v>
      </c>
      <c r="B64" s="15">
        <v>98361.256126143315</v>
      </c>
      <c r="C64" s="15">
        <f t="shared" si="0"/>
        <v>11.496402266949513</v>
      </c>
      <c r="D64" s="15"/>
      <c r="E64" s="15">
        <f t="shared" si="2"/>
        <v>63000.993532782741</v>
      </c>
      <c r="F64" s="15">
        <f t="shared" si="1"/>
        <v>11.05090577561095</v>
      </c>
    </row>
    <row r="65" spans="1:6" ht="14.1" customHeight="1" x14ac:dyDescent="0.25">
      <c r="A65" s="13">
        <v>2009</v>
      </c>
      <c r="B65" s="14">
        <v>99875.007770695622</v>
      </c>
      <c r="C65" s="14">
        <f t="shared" si="0"/>
        <v>11.511674760872785</v>
      </c>
      <c r="D65" s="14"/>
      <c r="E65" s="14">
        <f t="shared" si="2"/>
        <v>65804.515294907047</v>
      </c>
      <c r="F65" s="14">
        <f t="shared" si="1"/>
        <v>11.094443736462207</v>
      </c>
    </row>
    <row r="66" spans="1:6" ht="14.1" customHeight="1" x14ac:dyDescent="0.25">
      <c r="A66" s="1">
        <v>2010</v>
      </c>
      <c r="B66" s="15">
        <v>106302.6624684852</v>
      </c>
      <c r="C66" s="15">
        <f t="shared" si="0"/>
        <v>11.574045610756594</v>
      </c>
      <c r="D66" s="15"/>
      <c r="E66" s="15">
        <f t="shared" si="2"/>
        <v>68732.792776425136</v>
      </c>
      <c r="F66" s="15">
        <f t="shared" si="1"/>
        <v>11.137981697313466</v>
      </c>
    </row>
    <row r="67" spans="1:6" ht="14.1" customHeight="1" x14ac:dyDescent="0.25">
      <c r="A67" s="13">
        <v>2011</v>
      </c>
      <c r="B67" s="14">
        <v>105742.14990027119</v>
      </c>
      <c r="C67" s="14">
        <f t="shared" si="0"/>
        <v>11.568758861531599</v>
      </c>
      <c r="D67" s="14"/>
      <c r="E67" s="14">
        <f t="shared" si="2"/>
        <v>71791.377562393944</v>
      </c>
      <c r="F67" s="14">
        <f t="shared" si="1"/>
        <v>11.181519658164724</v>
      </c>
    </row>
    <row r="68" spans="1:6" ht="14.1" customHeight="1" x14ac:dyDescent="0.25">
      <c r="A68" s="1">
        <v>2012</v>
      </c>
      <c r="B68" s="15">
        <v>107452.30477919659</v>
      </c>
      <c r="C68" s="15">
        <f t="shared" si="0"/>
        <v>11.584802351623736</v>
      </c>
      <c r="D68" s="15"/>
      <c r="E68" s="15">
        <f t="shared" si="2"/>
        <v>74986.068281427186</v>
      </c>
      <c r="F68" s="15">
        <f t="shared" si="1"/>
        <v>11.225057619015981</v>
      </c>
    </row>
    <row r="69" spans="1:6" ht="14.1" customHeight="1" x14ac:dyDescent="0.25">
      <c r="A69" s="13">
        <v>2013</v>
      </c>
      <c r="B69" s="14">
        <v>107153.0357690714</v>
      </c>
      <c r="C69" s="14">
        <f t="shared" si="0"/>
        <v>11.582013332456251</v>
      </c>
      <c r="D69" s="14"/>
      <c r="E69" s="14">
        <f t="shared" si="2"/>
        <v>78322.92159904557</v>
      </c>
      <c r="F69" s="14">
        <f t="shared" si="1"/>
        <v>11.26859557986724</v>
      </c>
    </row>
    <row r="70" spans="1:6" ht="14.1" customHeight="1" x14ac:dyDescent="0.25">
      <c r="A70" s="1">
        <v>2014</v>
      </c>
      <c r="B70" s="15">
        <v>109471.0398163223</v>
      </c>
      <c r="C70" s="15">
        <f t="shared" si="0"/>
        <v>11.603415316695331</v>
      </c>
      <c r="D70" s="15"/>
      <c r="E70" s="15">
        <f t="shared" si="2"/>
        <v>81808.263700227224</v>
      </c>
      <c r="F70" s="15">
        <f t="shared" si="1"/>
        <v>11.312133540718497</v>
      </c>
    </row>
    <row r="71" spans="1:6" ht="14.1" customHeight="1" x14ac:dyDescent="0.25">
      <c r="A71" s="13">
        <v>2015</v>
      </c>
      <c r="B71" s="14">
        <v>112148.7655331671</v>
      </c>
      <c r="C71" s="14">
        <f t="shared" si="0"/>
        <v>11.627581532604378</v>
      </c>
      <c r="D71" s="14"/>
      <c r="E71" s="14">
        <f t="shared" si="2"/>
        <v>85448.702282927479</v>
      </c>
      <c r="F71" s="14">
        <f t="shared" si="1"/>
        <v>11.355671501569756</v>
      </c>
    </row>
    <row r="72" spans="1:6" ht="14.1" customHeight="1" x14ac:dyDescent="0.25">
      <c r="A72" s="1">
        <v>2016</v>
      </c>
      <c r="B72" s="15">
        <v>111160.62861934031</v>
      </c>
      <c r="C72" s="15">
        <f t="shared" ref="C72:C79" si="3">LN(B72)</f>
        <v>11.618731538926275</v>
      </c>
      <c r="D72" s="15"/>
      <c r="E72" s="15">
        <f t="shared" si="2"/>
        <v>89251.139085306073</v>
      </c>
      <c r="F72" s="15">
        <f t="shared" ref="F72:F79" si="4">LN(E72)</f>
        <v>11.399209462421013</v>
      </c>
    </row>
    <row r="73" spans="1:6" ht="14.1" customHeight="1" x14ac:dyDescent="0.25">
      <c r="A73" s="13">
        <v>2017</v>
      </c>
      <c r="B73" s="14">
        <v>110830.7654482053</v>
      </c>
      <c r="C73" s="14">
        <f t="shared" si="3"/>
        <v>11.615759681253159</v>
      </c>
      <c r="D73" s="14"/>
      <c r="E73" s="14">
        <f t="shared" ref="E73:E106" si="5">E72*(1+$I$1)</f>
        <v>93222.782970411441</v>
      </c>
      <c r="F73" s="14">
        <f t="shared" si="4"/>
        <v>11.442747423272271</v>
      </c>
    </row>
    <row r="74" spans="1:6" ht="14.1" customHeight="1" x14ac:dyDescent="0.25">
      <c r="A74" s="1">
        <v>2018</v>
      </c>
      <c r="B74" s="15">
        <v>109896.0716122233</v>
      </c>
      <c r="C74" s="15">
        <f t="shared" si="3"/>
        <v>11.607290394641133</v>
      </c>
      <c r="D74" s="15"/>
      <c r="E74" s="15">
        <f t="shared" si="5"/>
        <v>97371.163593128847</v>
      </c>
      <c r="F74" s="15">
        <f t="shared" si="4"/>
        <v>11.48628538412353</v>
      </c>
    </row>
    <row r="75" spans="1:6" ht="14.1" customHeight="1" x14ac:dyDescent="0.25">
      <c r="A75" s="13">
        <v>2019</v>
      </c>
      <c r="B75" s="14">
        <v>113119.0869565217</v>
      </c>
      <c r="C75" s="14">
        <f t="shared" si="3"/>
        <v>11.636196409638504</v>
      </c>
      <c r="D75" s="14"/>
      <c r="E75" s="14">
        <f t="shared" si="5"/>
        <v>101704.14567530277</v>
      </c>
      <c r="F75" s="14">
        <f t="shared" si="4"/>
        <v>11.529823344974787</v>
      </c>
    </row>
    <row r="76" spans="1:6" ht="14.1" customHeight="1" x14ac:dyDescent="0.25">
      <c r="A76" s="1">
        <v>2020</v>
      </c>
      <c r="B76" s="15">
        <v>120482.6612421742</v>
      </c>
      <c r="C76" s="15">
        <f t="shared" si="3"/>
        <v>11.699261131453234</v>
      </c>
      <c r="D76" s="15"/>
      <c r="E76" s="15">
        <f t="shared" si="5"/>
        <v>106229.94391609725</v>
      </c>
      <c r="F76" s="15">
        <f t="shared" si="4"/>
        <v>11.573361305826046</v>
      </c>
    </row>
    <row r="77" spans="1:6" ht="14.1" customHeight="1" x14ac:dyDescent="0.25">
      <c r="A77" s="13">
        <v>2021</v>
      </c>
      <c r="B77" s="14">
        <v>125980.6760508898</v>
      </c>
      <c r="C77" s="14">
        <f t="shared" si="3"/>
        <v>11.743883809496573</v>
      </c>
      <c r="D77" s="14"/>
      <c r="E77" s="14">
        <f t="shared" si="5"/>
        <v>110957.13856586184</v>
      </c>
      <c r="F77" s="14">
        <f t="shared" si="4"/>
        <v>11.616899266677303</v>
      </c>
    </row>
    <row r="78" spans="1:6" ht="14.1" customHeight="1" x14ac:dyDescent="0.25">
      <c r="A78" s="1">
        <v>2022</v>
      </c>
      <c r="B78" s="15">
        <v>126979.1764436974</v>
      </c>
      <c r="C78" s="15">
        <f t="shared" si="3"/>
        <v>11.751778386986739</v>
      </c>
      <c r="D78" s="15"/>
      <c r="E78" s="15">
        <f t="shared" si="5"/>
        <v>115894.6916930291</v>
      </c>
      <c r="F78" s="15">
        <f t="shared" si="4"/>
        <v>11.660437227528561</v>
      </c>
    </row>
    <row r="79" spans="1:6" ht="14.1" customHeight="1" thickBot="1" x14ac:dyDescent="0.3">
      <c r="A79" s="16">
        <v>2023</v>
      </c>
      <c r="B79" s="17">
        <v>129730.7399417308</v>
      </c>
      <c r="C79" s="17">
        <f t="shared" si="3"/>
        <v>11.773216350254417</v>
      </c>
      <c r="D79" s="17">
        <v>11.773216350254417</v>
      </c>
      <c r="E79" s="17">
        <f t="shared" si="5"/>
        <v>121051.96417488331</v>
      </c>
      <c r="F79" s="17">
        <f t="shared" si="4"/>
        <v>11.703975188379818</v>
      </c>
    </row>
    <row r="80" spans="1:6" ht="14.1" customHeight="1" x14ac:dyDescent="0.25">
      <c r="A80" s="18">
        <v>2024</v>
      </c>
      <c r="B80" s="19">
        <f>B79*(1+$I$1)</f>
        <v>135503.71164024662</v>
      </c>
      <c r="C80" s="19"/>
      <c r="D80" s="19">
        <f>LN(B80)</f>
        <v>11.816754311105676</v>
      </c>
      <c r="E80" s="19">
        <f t="shared" si="5"/>
        <v>126438.73344441212</v>
      </c>
      <c r="F80" s="19">
        <v>11.816754311105679</v>
      </c>
    </row>
    <row r="81" spans="1:6" ht="14.1" customHeight="1" x14ac:dyDescent="0.25">
      <c r="A81" s="18">
        <v>2025</v>
      </c>
      <c r="B81" s="19">
        <f t="shared" ref="B81:B106" si="6">B80*(1+$I$1)</f>
        <v>141533.57852217718</v>
      </c>
      <c r="C81" s="19"/>
      <c r="D81" s="19">
        <f t="shared" ref="D81:D106" si="7">LN(B81)</f>
        <v>11.860292271956933</v>
      </c>
      <c r="E81" s="19">
        <f t="shared" si="5"/>
        <v>132065.21202688708</v>
      </c>
      <c r="F81" s="19">
        <v>11.860292271956929</v>
      </c>
    </row>
    <row r="82" spans="1:6" ht="14.1" customHeight="1" x14ac:dyDescent="0.25">
      <c r="A82" s="18">
        <v>2026</v>
      </c>
      <c r="B82" s="19">
        <f t="shared" si="6"/>
        <v>147831.77233164117</v>
      </c>
      <c r="C82" s="19"/>
      <c r="D82" s="19">
        <f t="shared" si="7"/>
        <v>11.903830232808192</v>
      </c>
      <c r="E82" s="19">
        <f t="shared" si="5"/>
        <v>137942.06690131506</v>
      </c>
      <c r="F82" s="19">
        <v>11.90383023280819</v>
      </c>
    </row>
    <row r="83" spans="1:6" ht="14.1" customHeight="1" x14ac:dyDescent="0.25">
      <c r="A83" s="18">
        <v>2027</v>
      </c>
      <c r="B83" s="19">
        <f t="shared" si="6"/>
        <v>154410.2335212969</v>
      </c>
      <c r="C83" s="19"/>
      <c r="D83" s="19">
        <f t="shared" si="7"/>
        <v>11.947368193659448</v>
      </c>
      <c r="E83" s="19">
        <f t="shared" si="5"/>
        <v>144080.43972346766</v>
      </c>
      <c r="F83" s="19">
        <v>11.94736819365945</v>
      </c>
    </row>
    <row r="84" spans="1:6" ht="14.1" customHeight="1" x14ac:dyDescent="0.25">
      <c r="A84" s="18">
        <v>2028</v>
      </c>
      <c r="B84" s="19">
        <f t="shared" si="6"/>
        <v>161281.43388969102</v>
      </c>
      <c r="C84" s="19"/>
      <c r="D84" s="19">
        <f t="shared" si="7"/>
        <v>11.990906154510707</v>
      </c>
      <c r="E84" s="19">
        <f t="shared" si="5"/>
        <v>150491.96794882801</v>
      </c>
      <c r="F84" s="19">
        <v>11.990906154510711</v>
      </c>
    </row>
    <row r="85" spans="1:6" ht="14.1" customHeight="1" x14ac:dyDescent="0.25">
      <c r="A85" s="18">
        <v>2029</v>
      </c>
      <c r="B85" s="19">
        <f t="shared" si="6"/>
        <v>168458.40022596129</v>
      </c>
      <c r="C85" s="19"/>
      <c r="D85" s="19">
        <f t="shared" si="7"/>
        <v>12.034444115361966</v>
      </c>
      <c r="E85" s="19">
        <f t="shared" si="5"/>
        <v>157188.80689550133</v>
      </c>
      <c r="F85" s="19">
        <v>12.034444115361961</v>
      </c>
    </row>
    <row r="86" spans="1:6" ht="14.1" customHeight="1" x14ac:dyDescent="0.25">
      <c r="A86" s="18">
        <v>2030</v>
      </c>
      <c r="B86" s="19">
        <f t="shared" si="6"/>
        <v>175954.73900672002</v>
      </c>
      <c r="C86" s="19"/>
      <c r="D86" s="19">
        <f t="shared" si="7"/>
        <v>12.077982076213223</v>
      </c>
      <c r="E86" s="19">
        <f t="shared" si="5"/>
        <v>164183.65278891701</v>
      </c>
      <c r="F86" s="19">
        <v>12.077982076213219</v>
      </c>
    </row>
    <row r="87" spans="1:6" ht="14.1" customHeight="1" x14ac:dyDescent="0.25">
      <c r="A87" s="18">
        <v>2031</v>
      </c>
      <c r="B87" s="19">
        <f t="shared" si="6"/>
        <v>183784.66219194021</v>
      </c>
      <c r="C87" s="19"/>
      <c r="D87" s="19">
        <f t="shared" si="7"/>
        <v>12.121520037064482</v>
      </c>
      <c r="E87" s="19">
        <f t="shared" si="5"/>
        <v>171489.76683201184</v>
      </c>
      <c r="F87" s="19">
        <v>12.12152003706448</v>
      </c>
    </row>
    <row r="88" spans="1:6" ht="14.1" customHeight="1" x14ac:dyDescent="0.25">
      <c r="A88" s="18">
        <v>2032</v>
      </c>
      <c r="B88" s="19">
        <f t="shared" si="6"/>
        <v>191963.0141687493</v>
      </c>
      <c r="C88" s="19"/>
      <c r="D88" s="19">
        <f t="shared" si="7"/>
        <v>12.165057997915738</v>
      </c>
      <c r="E88" s="19">
        <f t="shared" si="5"/>
        <v>179121.0003465277</v>
      </c>
      <c r="F88" s="19">
        <v>12.16505799791574</v>
      </c>
    </row>
    <row r="89" spans="1:6" ht="14.1" customHeight="1" x14ac:dyDescent="0.25">
      <c r="A89" s="18">
        <v>2033</v>
      </c>
      <c r="B89" s="19">
        <f t="shared" si="6"/>
        <v>200505.29989421213</v>
      </c>
      <c r="C89" s="19"/>
      <c r="D89" s="19">
        <f t="shared" si="7"/>
        <v>12.208595958766997</v>
      </c>
      <c r="E89" s="19">
        <f t="shared" si="5"/>
        <v>187091.82103308817</v>
      </c>
      <c r="F89" s="19">
        <v>12.208595958767001</v>
      </c>
    </row>
    <row r="90" spans="1:6" ht="14.1" customHeight="1" x14ac:dyDescent="0.25">
      <c r="A90" s="18">
        <v>2034</v>
      </c>
      <c r="B90" s="19">
        <f t="shared" si="6"/>
        <v>209427.71429045786</v>
      </c>
      <c r="C90" s="19"/>
      <c r="D90" s="19">
        <f t="shared" si="7"/>
        <v>12.252133919618254</v>
      </c>
      <c r="E90" s="19">
        <f t="shared" si="5"/>
        <v>195417.34039983904</v>
      </c>
      <c r="F90" s="19">
        <v>12.252133919618251</v>
      </c>
    </row>
    <row r="91" spans="1:6" ht="14.1" customHeight="1" x14ac:dyDescent="0.25">
      <c r="A91" s="18">
        <v>2035</v>
      </c>
      <c r="B91" s="19">
        <f t="shared" si="6"/>
        <v>218747.17294787942</v>
      </c>
      <c r="C91" s="19"/>
      <c r="D91" s="19">
        <f t="shared" si="7"/>
        <v>12.295671880469513</v>
      </c>
      <c r="E91" s="19">
        <f t="shared" si="5"/>
        <v>204113.34241165375</v>
      </c>
      <c r="F91" s="19">
        <v>12.295671880469509</v>
      </c>
    </row>
    <row r="92" spans="1:6" ht="14.1" customHeight="1" x14ac:dyDescent="0.25">
      <c r="A92" s="18">
        <v>2036</v>
      </c>
      <c r="B92" s="19">
        <f t="shared" si="6"/>
        <v>228481.34419461439</v>
      </c>
      <c r="C92" s="19"/>
      <c r="D92" s="19">
        <f t="shared" si="7"/>
        <v>12.33920984132077</v>
      </c>
      <c r="E92" s="19">
        <f t="shared" si="5"/>
        <v>213196.31341421799</v>
      </c>
      <c r="F92" s="19">
        <v>12.33920984132077</v>
      </c>
    </row>
    <row r="93" spans="1:6" ht="14.1" customHeight="1" x14ac:dyDescent="0.25">
      <c r="A93" s="18">
        <v>2037</v>
      </c>
      <c r="B93" s="19">
        <f t="shared" si="6"/>
        <v>238648.68259310653</v>
      </c>
      <c r="C93" s="19"/>
      <c r="D93" s="19">
        <f t="shared" si="7"/>
        <v>12.382747802172029</v>
      </c>
      <c r="E93" s="19">
        <f t="shared" si="5"/>
        <v>222683.4733897257</v>
      </c>
      <c r="F93" s="19">
        <v>12.38274780217203</v>
      </c>
    </row>
    <row r="94" spans="1:6" ht="14.1" customHeight="1" x14ac:dyDescent="0.25">
      <c r="A94" s="18">
        <v>2038</v>
      </c>
      <c r="B94" s="19">
        <f t="shared" si="6"/>
        <v>249268.4639272521</v>
      </c>
      <c r="C94" s="19"/>
      <c r="D94" s="19">
        <f t="shared" si="7"/>
        <v>12.426285763023287</v>
      </c>
      <c r="E94" s="19">
        <f t="shared" si="5"/>
        <v>232592.80860344213</v>
      </c>
      <c r="F94" s="19">
        <v>12.42628576302328</v>
      </c>
    </row>
    <row r="95" spans="1:6" ht="14.1" customHeight="1" x14ac:dyDescent="0.25">
      <c r="A95" s="18">
        <v>2039</v>
      </c>
      <c r="B95" s="19">
        <f t="shared" si="6"/>
        <v>260360.82174646194</v>
      </c>
      <c r="C95" s="19"/>
      <c r="D95" s="19">
        <f t="shared" si="7"/>
        <v>12.469823723874544</v>
      </c>
      <c r="E95" s="19">
        <f t="shared" si="5"/>
        <v>242943.1057030276</v>
      </c>
      <c r="F95" s="19">
        <v>12.469823723874541</v>
      </c>
    </row>
    <row r="96" spans="1:6" ht="14.1" customHeight="1" x14ac:dyDescent="0.25">
      <c r="A96" s="18">
        <v>2040</v>
      </c>
      <c r="B96" s="19">
        <f t="shared" si="6"/>
        <v>271946.78553592117</v>
      </c>
      <c r="C96" s="19"/>
      <c r="D96" s="19">
        <f t="shared" si="7"/>
        <v>12.513361684725803</v>
      </c>
      <c r="E96" s="19">
        <f t="shared" si="5"/>
        <v>253753.98733526876</v>
      </c>
      <c r="F96" s="19">
        <v>12.513361684725799</v>
      </c>
    </row>
    <row r="97" spans="1:6" ht="14.1" customHeight="1" x14ac:dyDescent="0.25">
      <c r="A97" s="18">
        <v>2041</v>
      </c>
      <c r="B97" s="19">
        <f t="shared" si="6"/>
        <v>284048.32058541186</v>
      </c>
      <c r="C97" s="19"/>
      <c r="D97" s="19">
        <f t="shared" si="7"/>
        <v>12.55689964557706</v>
      </c>
      <c r="E97" s="19">
        <f t="shared" si="5"/>
        <v>265045.94934774179</v>
      </c>
      <c r="F97" s="19">
        <v>12.55689964557706</v>
      </c>
    </row>
    <row r="98" spans="1:6" ht="14.1" customHeight="1" x14ac:dyDescent="0.25">
      <c r="A98" s="18">
        <v>2042</v>
      </c>
      <c r="B98" s="19">
        <f t="shared" si="6"/>
        <v>296688.36963228427</v>
      </c>
      <c r="C98" s="19"/>
      <c r="D98" s="19">
        <f t="shared" si="7"/>
        <v>12.600437606428319</v>
      </c>
      <c r="E98" s="19">
        <f t="shared" si="5"/>
        <v>276840.3996459365</v>
      </c>
      <c r="F98" s="19">
        <v>12.60043760642832</v>
      </c>
    </row>
    <row r="99" spans="1:6" ht="14.1" customHeight="1" x14ac:dyDescent="0.25">
      <c r="A99" s="18">
        <v>2043</v>
      </c>
      <c r="B99" s="19">
        <f t="shared" si="6"/>
        <v>309890.89635752514</v>
      </c>
      <c r="C99" s="19"/>
      <c r="D99" s="19">
        <f t="shared" si="7"/>
        <v>12.643975567279576</v>
      </c>
      <c r="E99" s="19">
        <f t="shared" si="5"/>
        <v>289159.69877950836</v>
      </c>
      <c r="F99" s="19">
        <v>12.643975567279581</v>
      </c>
    </row>
    <row r="100" spans="1:6" ht="14.1" customHeight="1" x14ac:dyDescent="0.25">
      <c r="A100" s="18">
        <v>2044</v>
      </c>
      <c r="B100" s="19">
        <f t="shared" si="6"/>
        <v>323680.93081738579</v>
      </c>
      <c r="C100" s="19"/>
      <c r="D100" s="19">
        <f t="shared" si="7"/>
        <v>12.687513528130834</v>
      </c>
      <c r="E100" s="19">
        <f t="shared" si="5"/>
        <v>302027.20233460434</v>
      </c>
      <c r="F100" s="19">
        <v>12.687513528130831</v>
      </c>
    </row>
    <row r="101" spans="1:6" ht="14.1" customHeight="1" x14ac:dyDescent="0.25">
      <c r="A101" s="18">
        <v>2045</v>
      </c>
      <c r="B101" s="19">
        <f t="shared" si="6"/>
        <v>338084.61689670139</v>
      </c>
      <c r="C101" s="19"/>
      <c r="D101" s="19">
        <f t="shared" si="7"/>
        <v>12.731051488982091</v>
      </c>
      <c r="E101" s="19">
        <f t="shared" si="5"/>
        <v>315467.30521263246</v>
      </c>
      <c r="F101" s="19">
        <v>12.731051488982089</v>
      </c>
    </row>
    <row r="102" spans="1:6" ht="14.1" customHeight="1" x14ac:dyDescent="0.25">
      <c r="A102" s="18">
        <v>2046</v>
      </c>
      <c r="B102" s="19">
        <f t="shared" si="6"/>
        <v>353129.26187386608</v>
      </c>
      <c r="C102" s="19"/>
      <c r="D102" s="19">
        <f t="shared" si="7"/>
        <v>12.77458944983335</v>
      </c>
      <c r="E102" s="19">
        <f t="shared" si="5"/>
        <v>329505.48787942034</v>
      </c>
      <c r="F102" s="19">
        <v>12.77458944983335</v>
      </c>
    </row>
    <row r="103" spans="1:6" ht="14.1" customHeight="1" x14ac:dyDescent="0.25">
      <c r="A103" s="18">
        <v>2047</v>
      </c>
      <c r="B103" s="19">
        <f t="shared" si="6"/>
        <v>368843.38819143164</v>
      </c>
      <c r="C103" s="19"/>
      <c r="D103" s="19">
        <f t="shared" si="7"/>
        <v>12.818127410684609</v>
      </c>
      <c r="E103" s="19">
        <f t="shared" si="5"/>
        <v>344168.36467244511</v>
      </c>
      <c r="F103" s="19">
        <v>12.81812741068461</v>
      </c>
    </row>
    <row r="104" spans="1:6" ht="14.1" customHeight="1" x14ac:dyDescent="0.25">
      <c r="A104" s="18">
        <v>2048</v>
      </c>
      <c r="B104" s="19">
        <f t="shared" si="6"/>
        <v>385256.78753047966</v>
      </c>
      <c r="C104" s="19"/>
      <c r="D104" s="19">
        <f t="shared" si="7"/>
        <v>12.861665371535866</v>
      </c>
      <c r="E104" s="19">
        <f t="shared" si="5"/>
        <v>359483.73425771768</v>
      </c>
      <c r="F104" s="19">
        <v>12.861665371535871</v>
      </c>
    </row>
    <row r="105" spans="1:6" ht="14.1" customHeight="1" x14ac:dyDescent="0.25">
      <c r="A105" s="18">
        <v>2049</v>
      </c>
      <c r="B105" s="19">
        <f t="shared" si="6"/>
        <v>402400.5772912837</v>
      </c>
      <c r="C105" s="19"/>
      <c r="D105" s="19">
        <f t="shared" si="7"/>
        <v>12.905203332387124</v>
      </c>
      <c r="E105" s="19">
        <f t="shared" si="5"/>
        <v>375480.63233198063</v>
      </c>
      <c r="F105" s="19">
        <v>12.905203332387121</v>
      </c>
    </row>
    <row r="106" spans="1:6" ht="14.1" customHeight="1" x14ac:dyDescent="0.25">
      <c r="A106" s="18">
        <v>2050</v>
      </c>
      <c r="B106" s="19">
        <f t="shared" si="6"/>
        <v>420307.25958734099</v>
      </c>
      <c r="C106" s="19"/>
      <c r="D106" s="19">
        <f t="shared" si="7"/>
        <v>12.948741293238381</v>
      </c>
      <c r="E106" s="19">
        <f t="shared" si="5"/>
        <v>392189.38667013479</v>
      </c>
      <c r="F106" s="19">
        <v>12.948741293238379</v>
      </c>
    </row>
    <row r="108" spans="1:6" x14ac:dyDescent="0.25">
      <c r="A108" s="57" t="s">
        <v>45</v>
      </c>
      <c r="B108" s="49"/>
      <c r="C108" s="49"/>
      <c r="D108" s="49"/>
      <c r="E108" s="49"/>
      <c r="F108" s="49"/>
    </row>
  </sheetData>
  <mergeCells count="5">
    <mergeCell ref="A108:F108"/>
    <mergeCell ref="A1:F1"/>
    <mergeCell ref="A4:F4"/>
    <mergeCell ref="A3:F3"/>
    <mergeCell ref="A2:F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8"/>
  <sheetViews>
    <sheetView showGridLines="0" topLeftCell="A4" zoomScale="82" workbookViewId="0">
      <selection activeCell="H1" sqref="H1:I1"/>
    </sheetView>
  </sheetViews>
  <sheetFormatPr baseColWidth="10" defaultColWidth="23.140625" defaultRowHeight="15" x14ac:dyDescent="0.25"/>
  <sheetData>
    <row r="1" spans="1:9" ht="27.95" customHeight="1" x14ac:dyDescent="0.25">
      <c r="A1" s="58" t="s">
        <v>46</v>
      </c>
      <c r="B1" s="49"/>
      <c r="C1" s="49"/>
      <c r="D1" s="49"/>
      <c r="E1" s="49"/>
      <c r="F1" s="49"/>
      <c r="H1" s="32" t="s">
        <v>110</v>
      </c>
      <c r="I1" s="33">
        <f>LN(B79/B7)/72</f>
        <v>4.8267009664677014E-2</v>
      </c>
    </row>
    <row r="2" spans="1:9" ht="15.95" customHeight="1" x14ac:dyDescent="0.25">
      <c r="A2" s="61" t="s">
        <v>47</v>
      </c>
      <c r="B2" s="49"/>
      <c r="C2" s="49"/>
      <c r="D2" s="49"/>
      <c r="E2" s="49"/>
      <c r="F2" s="49"/>
    </row>
    <row r="3" spans="1:9" ht="18" customHeight="1" x14ac:dyDescent="0.25">
      <c r="A3" s="60" t="s">
        <v>121</v>
      </c>
      <c r="B3" s="49"/>
      <c r="C3" s="49"/>
      <c r="D3" s="49"/>
      <c r="E3" s="49"/>
      <c r="F3" s="49"/>
    </row>
    <row r="4" spans="1:9" ht="24" customHeight="1" x14ac:dyDescent="0.25">
      <c r="A4" s="59" t="s">
        <v>48</v>
      </c>
      <c r="B4" s="49"/>
      <c r="C4" s="49"/>
      <c r="D4" s="49"/>
      <c r="E4" s="49"/>
      <c r="F4" s="49"/>
    </row>
    <row r="5" spans="1:9" ht="6" customHeight="1" x14ac:dyDescent="0.25"/>
    <row r="6" spans="1:9" ht="20.100000000000001" customHeight="1" x14ac:dyDescent="0.25">
      <c r="A6" s="12" t="s">
        <v>41</v>
      </c>
      <c r="B6" s="12" t="s">
        <v>49</v>
      </c>
      <c r="C6" s="12" t="s">
        <v>118</v>
      </c>
      <c r="D6" s="12" t="s">
        <v>119</v>
      </c>
      <c r="E6" s="12" t="s">
        <v>43</v>
      </c>
      <c r="F6" s="12" t="s">
        <v>114</v>
      </c>
    </row>
    <row r="7" spans="1:9" ht="14.1" customHeight="1" x14ac:dyDescent="0.25">
      <c r="A7" s="13">
        <v>1951</v>
      </c>
      <c r="B7" s="14">
        <v>16807.807136848842</v>
      </c>
      <c r="C7" s="14">
        <f>LN(B7)</f>
        <v>9.7295987679735703</v>
      </c>
      <c r="D7" s="14"/>
      <c r="E7" s="14">
        <v>16807.807136848842</v>
      </c>
      <c r="F7" s="14">
        <f>LN(E7)</f>
        <v>9.7295987679735703</v>
      </c>
    </row>
    <row r="8" spans="1:9" ht="14.1" customHeight="1" x14ac:dyDescent="0.25">
      <c r="A8" s="1">
        <v>1952</v>
      </c>
      <c r="B8" s="15">
        <v>16895.355385133451</v>
      </c>
      <c r="C8" s="15">
        <f t="shared" ref="C8:C71" si="0">LN(B8)</f>
        <v>9.7347940338566321</v>
      </c>
      <c r="D8" s="15"/>
      <c r="E8" s="15">
        <f>E7*(1+$I$1)</f>
        <v>17619.069726365153</v>
      </c>
      <c r="F8" s="15">
        <f t="shared" ref="F8:F71" si="1">LN(E8)</f>
        <v>9.77673710163584</v>
      </c>
    </row>
    <row r="9" spans="1:9" ht="14.1" customHeight="1" x14ac:dyDescent="0.25">
      <c r="A9" s="13">
        <v>1953</v>
      </c>
      <c r="B9" s="14">
        <v>17290.855064754571</v>
      </c>
      <c r="C9" s="14">
        <f t="shared" si="0"/>
        <v>9.7579330317491664</v>
      </c>
      <c r="D9" s="14"/>
      <c r="E9" s="14">
        <f t="shared" ref="E9:E72" si="2">E8*(1+$I$1)</f>
        <v>18469.48953513024</v>
      </c>
      <c r="F9" s="14">
        <f t="shared" si="1"/>
        <v>9.8238754352981115</v>
      </c>
    </row>
    <row r="10" spans="1:9" ht="14.1" customHeight="1" x14ac:dyDescent="0.25">
      <c r="A10" s="1">
        <v>1954</v>
      </c>
      <c r="B10" s="15">
        <v>17672.28223014059</v>
      </c>
      <c r="C10" s="15">
        <f t="shared" si="0"/>
        <v>9.7797527154421289</v>
      </c>
      <c r="D10" s="15"/>
      <c r="E10" s="15">
        <f t="shared" si="2"/>
        <v>19360.956565024026</v>
      </c>
      <c r="F10" s="15">
        <f t="shared" si="1"/>
        <v>9.8710137689603812</v>
      </c>
    </row>
    <row r="11" spans="1:9" ht="14.1" customHeight="1" x14ac:dyDescent="0.25">
      <c r="A11" s="13">
        <v>1955</v>
      </c>
      <c r="B11" s="14">
        <v>17780.630166595329</v>
      </c>
      <c r="C11" s="14">
        <f t="shared" si="0"/>
        <v>9.7858649508805087</v>
      </c>
      <c r="D11" s="14"/>
      <c r="E11" s="14">
        <f t="shared" si="2"/>
        <v>20295.452042665434</v>
      </c>
      <c r="F11" s="14">
        <f t="shared" si="1"/>
        <v>9.9181521026226509</v>
      </c>
    </row>
    <row r="12" spans="1:9" ht="14.1" customHeight="1" x14ac:dyDescent="0.25">
      <c r="A12" s="1">
        <v>1956</v>
      </c>
      <c r="B12" s="15">
        <v>18087.594478651721</v>
      </c>
      <c r="C12" s="15">
        <f t="shared" si="0"/>
        <v>9.8029815943484451</v>
      </c>
      <c r="D12" s="15"/>
      <c r="E12" s="15">
        <f t="shared" si="2"/>
        <v>21275.052822557758</v>
      </c>
      <c r="F12" s="15">
        <f t="shared" si="1"/>
        <v>9.9652904362849206</v>
      </c>
    </row>
    <row r="13" spans="1:9" ht="14.1" customHeight="1" x14ac:dyDescent="0.25">
      <c r="A13" s="13">
        <v>1957</v>
      </c>
      <c r="B13" s="14">
        <v>18367.875755350891</v>
      </c>
      <c r="C13" s="14">
        <f t="shared" si="0"/>
        <v>9.8183585349060252</v>
      </c>
      <c r="D13" s="14"/>
      <c r="E13" s="14">
        <f t="shared" si="2"/>
        <v>22301.936002760671</v>
      </c>
      <c r="F13" s="14">
        <f t="shared" si="1"/>
        <v>10.01242876994719</v>
      </c>
    </row>
    <row r="14" spans="1:9" ht="14.1" customHeight="1" x14ac:dyDescent="0.25">
      <c r="A14" s="1">
        <v>1958</v>
      </c>
      <c r="B14" s="15">
        <v>18818.057435391871</v>
      </c>
      <c r="C14" s="15">
        <f t="shared" si="0"/>
        <v>9.8425721897138168</v>
      </c>
      <c r="D14" s="15"/>
      <c r="E14" s="15">
        <f t="shared" si="2"/>
        <v>23378.38376334693</v>
      </c>
      <c r="F14" s="15">
        <f t="shared" si="1"/>
        <v>10.05956710360946</v>
      </c>
    </row>
    <row r="15" spans="1:9" ht="14.1" customHeight="1" x14ac:dyDescent="0.25">
      <c r="A15" s="13">
        <v>1959</v>
      </c>
      <c r="B15" s="14">
        <v>19494.236417636581</v>
      </c>
      <c r="C15" s="14">
        <f t="shared" si="0"/>
        <v>9.8778741325365829</v>
      </c>
      <c r="D15" s="14"/>
      <c r="E15" s="14">
        <f t="shared" si="2"/>
        <v>24506.788438396929</v>
      </c>
      <c r="F15" s="14">
        <f t="shared" si="1"/>
        <v>10.106705437271732</v>
      </c>
    </row>
    <row r="16" spans="1:9" ht="14.1" customHeight="1" x14ac:dyDescent="0.25">
      <c r="A16" s="1">
        <v>1960</v>
      </c>
      <c r="B16" s="15">
        <v>20413.597817349651</v>
      </c>
      <c r="C16" s="15">
        <f t="shared" si="0"/>
        <v>9.92395651745408</v>
      </c>
      <c r="D16" s="15"/>
      <c r="E16" s="15">
        <f t="shared" si="2"/>
        <v>25689.65783280323</v>
      </c>
      <c r="F16" s="15">
        <f t="shared" si="1"/>
        <v>10.153843770934001</v>
      </c>
    </row>
    <row r="17" spans="1:6" ht="14.1" customHeight="1" x14ac:dyDescent="0.25">
      <c r="A17" s="13">
        <v>1961</v>
      </c>
      <c r="B17" s="14">
        <v>21169.165029816781</v>
      </c>
      <c r="C17" s="14">
        <f t="shared" si="0"/>
        <v>9.9603009221520686</v>
      </c>
      <c r="D17" s="14"/>
      <c r="E17" s="14">
        <f t="shared" si="2"/>
        <v>26929.62079570139</v>
      </c>
      <c r="F17" s="14">
        <f t="shared" si="1"/>
        <v>10.200982104596271</v>
      </c>
    </row>
    <row r="18" spans="1:6" ht="14.1" customHeight="1" x14ac:dyDescent="0.25">
      <c r="A18" s="1">
        <v>1962</v>
      </c>
      <c r="B18" s="15">
        <v>21878.54158601772</v>
      </c>
      <c r="C18" s="15">
        <f t="shared" si="0"/>
        <v>9.9932615991963463</v>
      </c>
      <c r="D18" s="15"/>
      <c r="E18" s="15">
        <f t="shared" si="2"/>
        <v>28229.433062913598</v>
      </c>
      <c r="F18" s="15">
        <f t="shared" si="1"/>
        <v>10.248120438258541</v>
      </c>
    </row>
    <row r="19" spans="1:6" ht="14.1" customHeight="1" x14ac:dyDescent="0.25">
      <c r="A19" s="13">
        <v>1963</v>
      </c>
      <c r="B19" s="14">
        <v>22840.42433145125</v>
      </c>
      <c r="C19" s="14">
        <f t="shared" si="0"/>
        <v>10.036287242032188</v>
      </c>
      <c r="D19" s="14"/>
      <c r="E19" s="14">
        <f t="shared" si="2"/>
        <v>29591.983381389604</v>
      </c>
      <c r="F19" s="14">
        <f t="shared" si="1"/>
        <v>10.29525877192081</v>
      </c>
    </row>
    <row r="20" spans="1:6" ht="14.1" customHeight="1" x14ac:dyDescent="0.25">
      <c r="A20" s="1">
        <v>1964</v>
      </c>
      <c r="B20" s="15">
        <v>24400.27615070614</v>
      </c>
      <c r="C20" s="15">
        <f t="shared" si="0"/>
        <v>10.10234972886914</v>
      </c>
      <c r="D20" s="15"/>
      <c r="E20" s="15">
        <f t="shared" si="2"/>
        <v>31020.2999292561</v>
      </c>
      <c r="F20" s="15">
        <f t="shared" si="1"/>
        <v>10.34239710558308</v>
      </c>
    </row>
    <row r="21" spans="1:6" ht="14.1" customHeight="1" x14ac:dyDescent="0.25">
      <c r="A21" s="13">
        <v>1965</v>
      </c>
      <c r="B21" s="14">
        <v>26805.781685249211</v>
      </c>
      <c r="C21" s="14">
        <f t="shared" si="0"/>
        <v>10.196372877755826</v>
      </c>
      <c r="D21" s="14"/>
      <c r="E21" s="14">
        <f t="shared" si="2"/>
        <v>32517.557045742687</v>
      </c>
      <c r="F21" s="14">
        <f t="shared" si="1"/>
        <v>10.38953543924535</v>
      </c>
    </row>
    <row r="22" spans="1:6" ht="14.1" customHeight="1" x14ac:dyDescent="0.25">
      <c r="A22" s="1">
        <v>1966</v>
      </c>
      <c r="B22" s="15">
        <v>29313.647209631199</v>
      </c>
      <c r="C22" s="15">
        <f t="shared" si="0"/>
        <v>10.285808461638357</v>
      </c>
      <c r="D22" s="15"/>
      <c r="E22" s="15">
        <f t="shared" si="2"/>
        <v>34087.082285941236</v>
      </c>
      <c r="F22" s="15">
        <f t="shared" si="1"/>
        <v>10.43667377290762</v>
      </c>
    </row>
    <row r="23" spans="1:6" ht="14.1" customHeight="1" x14ac:dyDescent="0.25">
      <c r="A23" s="13">
        <v>1967</v>
      </c>
      <c r="B23" s="14">
        <v>31616.03381239844</v>
      </c>
      <c r="C23" s="14">
        <f t="shared" si="0"/>
        <v>10.361419670018128</v>
      </c>
      <c r="D23" s="14"/>
      <c r="E23" s="14">
        <f t="shared" si="2"/>
        <v>35732.363816077406</v>
      </c>
      <c r="F23" s="14">
        <f t="shared" si="1"/>
        <v>10.483812106569889</v>
      </c>
    </row>
    <row r="24" spans="1:6" ht="14.1" customHeight="1" x14ac:dyDescent="0.25">
      <c r="A24" s="1">
        <v>1968</v>
      </c>
      <c r="B24" s="15">
        <v>34614.153186857169</v>
      </c>
      <c r="C24" s="15">
        <f t="shared" si="0"/>
        <v>10.452017929050271</v>
      </c>
      <c r="D24" s="15"/>
      <c r="E24" s="15">
        <f t="shared" si="2"/>
        <v>37457.058165729773</v>
      </c>
      <c r="F24" s="15">
        <f t="shared" si="1"/>
        <v>10.530950440232161</v>
      </c>
    </row>
    <row r="25" spans="1:6" ht="14.1" customHeight="1" x14ac:dyDescent="0.25">
      <c r="A25" s="13">
        <v>1969</v>
      </c>
      <c r="B25" s="14">
        <v>37871.884715505119</v>
      </c>
      <c r="C25" s="14">
        <f t="shared" si="0"/>
        <v>10.541964287692972</v>
      </c>
      <c r="D25" s="14"/>
      <c r="E25" s="14">
        <f t="shared" si="2"/>
        <v>39264.998354225427</v>
      </c>
      <c r="F25" s="14">
        <f t="shared" si="1"/>
        <v>10.57808877389443</v>
      </c>
    </row>
    <row r="26" spans="1:6" ht="14.1" customHeight="1" x14ac:dyDescent="0.25">
      <c r="A26" s="1">
        <v>1970</v>
      </c>
      <c r="B26" s="15">
        <v>41475.920522177352</v>
      </c>
      <c r="C26" s="15">
        <f t="shared" si="0"/>
        <v>10.632868309439891</v>
      </c>
      <c r="D26" s="15"/>
      <c r="E26" s="15">
        <f t="shared" si="2"/>
        <v>41160.202409272359</v>
      </c>
      <c r="F26" s="15">
        <f t="shared" si="1"/>
        <v>10.6252271075567</v>
      </c>
    </row>
    <row r="27" spans="1:6" ht="14.1" customHeight="1" x14ac:dyDescent="0.25">
      <c r="A27" s="13">
        <v>1971</v>
      </c>
      <c r="B27" s="14">
        <v>46267.574860937697</v>
      </c>
      <c r="C27" s="14">
        <f t="shared" si="0"/>
        <v>10.742196667753246</v>
      </c>
      <c r="D27" s="14"/>
      <c r="E27" s="14">
        <f t="shared" si="2"/>
        <v>43146.882296760778</v>
      </c>
      <c r="F27" s="14">
        <f t="shared" si="1"/>
        <v>10.67236544121897</v>
      </c>
    </row>
    <row r="28" spans="1:6" ht="14.1" customHeight="1" x14ac:dyDescent="0.25">
      <c r="A28" s="1">
        <v>1972</v>
      </c>
      <c r="B28" s="15">
        <v>51207.521555412197</v>
      </c>
      <c r="C28" s="15">
        <f t="shared" si="0"/>
        <v>10.843641705617205</v>
      </c>
      <c r="D28" s="15"/>
      <c r="E28" s="15">
        <f t="shared" si="2"/>
        <v>45229.453281579219</v>
      </c>
      <c r="F28" s="15">
        <f t="shared" si="1"/>
        <v>10.71950377488124</v>
      </c>
    </row>
    <row r="29" spans="1:6" ht="14.1" customHeight="1" x14ac:dyDescent="0.25">
      <c r="A29" s="13">
        <v>1973</v>
      </c>
      <c r="B29" s="14">
        <v>54557.79995576806</v>
      </c>
      <c r="C29" s="14">
        <f t="shared" si="0"/>
        <v>10.907015968312987</v>
      </c>
      <c r="D29" s="14"/>
      <c r="E29" s="14">
        <f t="shared" si="2"/>
        <v>47412.543740249268</v>
      </c>
      <c r="F29" s="14">
        <f t="shared" si="1"/>
        <v>10.766642108543509</v>
      </c>
    </row>
    <row r="30" spans="1:6" ht="14.1" customHeight="1" x14ac:dyDescent="0.25">
      <c r="A30" s="1">
        <v>1974</v>
      </c>
      <c r="B30" s="15">
        <v>60493.514333727042</v>
      </c>
      <c r="C30" s="15">
        <f t="shared" si="0"/>
        <v>11.010291437177063</v>
      </c>
      <c r="D30" s="15"/>
      <c r="E30" s="15">
        <f t="shared" si="2"/>
        <v>49701.005447186806</v>
      </c>
      <c r="F30" s="15">
        <f t="shared" si="1"/>
        <v>10.813780442205781</v>
      </c>
    </row>
    <row r="31" spans="1:6" ht="14.1" customHeight="1" x14ac:dyDescent="0.25">
      <c r="A31" s="13">
        <v>1975</v>
      </c>
      <c r="B31" s="14">
        <v>68882.430744636396</v>
      </c>
      <c r="C31" s="14">
        <f t="shared" si="0"/>
        <v>11.140156428035228</v>
      </c>
      <c r="D31" s="14"/>
      <c r="E31" s="14">
        <f t="shared" si="2"/>
        <v>52099.924357450342</v>
      </c>
      <c r="F31" s="14">
        <f t="shared" si="1"/>
        <v>10.860918775868051</v>
      </c>
    </row>
    <row r="32" spans="1:6" ht="14.1" customHeight="1" x14ac:dyDescent="0.25">
      <c r="A32" s="1">
        <v>1976</v>
      </c>
      <c r="B32" s="15">
        <v>75397.391651966682</v>
      </c>
      <c r="C32" s="15">
        <f t="shared" si="0"/>
        <v>11.230527959922437</v>
      </c>
      <c r="D32" s="15"/>
      <c r="E32" s="15">
        <f t="shared" si="2"/>
        <v>54614.631909940341</v>
      </c>
      <c r="F32" s="15">
        <f t="shared" si="1"/>
        <v>10.90805710953032</v>
      </c>
    </row>
    <row r="33" spans="1:6" ht="14.1" customHeight="1" x14ac:dyDescent="0.25">
      <c r="A33" s="13">
        <v>1977</v>
      </c>
      <c r="B33" s="14">
        <v>79119.396336426304</v>
      </c>
      <c r="C33" s="14">
        <f t="shared" si="0"/>
        <v>11.278713336545879</v>
      </c>
      <c r="D33" s="14"/>
      <c r="E33" s="14">
        <f t="shared" si="2"/>
        <v>57250.716876170212</v>
      </c>
      <c r="F33" s="14">
        <f t="shared" si="1"/>
        <v>10.95519544319259</v>
      </c>
    </row>
    <row r="34" spans="1:6" ht="14.1" customHeight="1" x14ac:dyDescent="0.25">
      <c r="A34" s="1">
        <v>1978</v>
      </c>
      <c r="B34" s="15">
        <v>84264.665644645662</v>
      </c>
      <c r="C34" s="15">
        <f t="shared" si="0"/>
        <v>11.341717905999152</v>
      </c>
      <c r="D34" s="15"/>
      <c r="E34" s="15">
        <f t="shared" si="2"/>
        <v>60014.037780942017</v>
      </c>
      <c r="F34" s="15">
        <f t="shared" si="1"/>
        <v>11.00233377685486</v>
      </c>
    </row>
    <row r="35" spans="1:6" ht="14.1" customHeight="1" x14ac:dyDescent="0.25">
      <c r="A35" s="13">
        <v>1979</v>
      </c>
      <c r="B35" s="14">
        <v>91008.318815450795</v>
      </c>
      <c r="C35" s="14">
        <f t="shared" si="0"/>
        <v>11.418706196875243</v>
      </c>
      <c r="D35" s="14"/>
      <c r="E35" s="14">
        <f t="shared" si="2"/>
        <v>62910.735922531043</v>
      </c>
      <c r="F35" s="14">
        <f t="shared" si="1"/>
        <v>11.049472110517129</v>
      </c>
    </row>
    <row r="36" spans="1:6" ht="14.1" customHeight="1" x14ac:dyDescent="0.25">
      <c r="A36" s="1">
        <v>1980</v>
      </c>
      <c r="B36" s="15">
        <v>100273.7046535907</v>
      </c>
      <c r="C36" s="15">
        <f t="shared" si="0"/>
        <v>11.515658772615058</v>
      </c>
      <c r="D36" s="15"/>
      <c r="E36" s="15">
        <f t="shared" si="2"/>
        <v>65947.249021315802</v>
      </c>
      <c r="F36" s="15">
        <f t="shared" si="1"/>
        <v>11.096610444179399</v>
      </c>
    </row>
    <row r="37" spans="1:6" ht="14.1" customHeight="1" x14ac:dyDescent="0.25">
      <c r="A37" s="13">
        <v>1981</v>
      </c>
      <c r="B37" s="14">
        <v>109117.2622151321</v>
      </c>
      <c r="C37" s="14">
        <f t="shared" si="0"/>
        <v>11.600178383091828</v>
      </c>
      <c r="D37" s="14"/>
      <c r="E37" s="14">
        <f t="shared" si="2"/>
        <v>69130.32552718652</v>
      </c>
      <c r="F37" s="14">
        <f t="shared" si="1"/>
        <v>11.143748777841671</v>
      </c>
    </row>
    <row r="38" spans="1:6" ht="14.1" customHeight="1" x14ac:dyDescent="0.25">
      <c r="A38" s="1">
        <v>1982</v>
      </c>
      <c r="B38" s="15">
        <v>116327.57371287519</v>
      </c>
      <c r="C38" s="15">
        <f t="shared" si="0"/>
        <v>11.664165401659368</v>
      </c>
      <c r="D38" s="15"/>
      <c r="E38" s="15">
        <f t="shared" si="2"/>
        <v>72467.039617529503</v>
      </c>
      <c r="F38" s="15">
        <f t="shared" si="1"/>
        <v>11.19088711150394</v>
      </c>
    </row>
    <row r="39" spans="1:6" ht="14.1" customHeight="1" x14ac:dyDescent="0.25">
      <c r="A39" s="13">
        <v>1983</v>
      </c>
      <c r="B39" s="14">
        <v>120596.08462402641</v>
      </c>
      <c r="C39" s="14">
        <f t="shared" si="0"/>
        <v>11.700202096944103</v>
      </c>
      <c r="D39" s="14"/>
      <c r="E39" s="14">
        <f t="shared" si="2"/>
        <v>75964.806919119335</v>
      </c>
      <c r="F39" s="14">
        <f t="shared" si="1"/>
        <v>11.23802544516621</v>
      </c>
    </row>
    <row r="40" spans="1:6" ht="14.1" customHeight="1" x14ac:dyDescent="0.25">
      <c r="A40" s="1">
        <v>1984</v>
      </c>
      <c r="B40" s="15">
        <v>125683.5365992</v>
      </c>
      <c r="C40" s="15">
        <f t="shared" si="0"/>
        <v>11.741522412247146</v>
      </c>
      <c r="D40" s="15"/>
      <c r="E40" s="15">
        <f t="shared" si="2"/>
        <v>79631.400988859794</v>
      </c>
      <c r="F40" s="15">
        <f t="shared" si="1"/>
        <v>11.28516377882848</v>
      </c>
    </row>
    <row r="41" spans="1:6" ht="14.1" customHeight="1" x14ac:dyDescent="0.25">
      <c r="A41" s="13">
        <v>1985</v>
      </c>
      <c r="B41" s="14">
        <v>131215.19830977399</v>
      </c>
      <c r="C41" s="14">
        <f t="shared" si="0"/>
        <v>11.784593989558818</v>
      </c>
      <c r="D41" s="14"/>
      <c r="E41" s="14">
        <f t="shared" si="2"/>
        <v>83474.97059000087</v>
      </c>
      <c r="F41" s="14">
        <f t="shared" si="1"/>
        <v>11.332302112490749</v>
      </c>
    </row>
    <row r="42" spans="1:6" ht="14.1" customHeight="1" x14ac:dyDescent="0.25">
      <c r="A42" s="1">
        <v>1986</v>
      </c>
      <c r="B42" s="15">
        <v>134435.76914221581</v>
      </c>
      <c r="C42" s="15">
        <f t="shared" si="0"/>
        <v>11.808841811113375</v>
      </c>
      <c r="D42" s="15"/>
      <c r="E42" s="15">
        <f t="shared" si="2"/>
        <v>87504.057802227078</v>
      </c>
      <c r="F42" s="15">
        <f t="shared" si="1"/>
        <v>11.379440446153019</v>
      </c>
    </row>
    <row r="43" spans="1:6" ht="14.1" customHeight="1" x14ac:dyDescent="0.25">
      <c r="A43" s="13">
        <v>1987</v>
      </c>
      <c r="B43" s="14">
        <v>141205.494624857</v>
      </c>
      <c r="C43" s="14">
        <f t="shared" si="0"/>
        <v>11.857971517057932</v>
      </c>
      <c r="D43" s="14"/>
      <c r="E43" s="14">
        <f t="shared" si="2"/>
        <v>91727.617005865643</v>
      </c>
      <c r="F43" s="14">
        <f t="shared" si="1"/>
        <v>11.426578779815289</v>
      </c>
    </row>
    <row r="44" spans="1:6" ht="14.1" customHeight="1" x14ac:dyDescent="0.25">
      <c r="A44" s="1">
        <v>1988</v>
      </c>
      <c r="B44" s="15">
        <v>152556.4473496429</v>
      </c>
      <c r="C44" s="15">
        <f t="shared" si="0"/>
        <v>11.935289953097302</v>
      </c>
      <c r="D44" s="15"/>
      <c r="E44" s="15">
        <f t="shared" si="2"/>
        <v>96155.034782405564</v>
      </c>
      <c r="F44" s="15">
        <f t="shared" si="1"/>
        <v>11.473717113477559</v>
      </c>
    </row>
    <row r="45" spans="1:6" ht="14.1" customHeight="1" x14ac:dyDescent="0.25">
      <c r="A45" s="13">
        <v>1989</v>
      </c>
      <c r="B45" s="14">
        <v>164466.61305221601</v>
      </c>
      <c r="C45" s="14">
        <f t="shared" si="0"/>
        <v>12.010462868419461</v>
      </c>
      <c r="D45" s="14"/>
      <c r="E45" s="14">
        <f t="shared" si="2"/>
        <v>100796.1507755553</v>
      </c>
      <c r="F45" s="14">
        <f t="shared" si="1"/>
        <v>11.52085544713983</v>
      </c>
    </row>
    <row r="46" spans="1:6" ht="14.1" customHeight="1" x14ac:dyDescent="0.25">
      <c r="A46" s="1">
        <v>1990</v>
      </c>
      <c r="B46" s="15">
        <v>179853.30273510999</v>
      </c>
      <c r="C46" s="15">
        <f t="shared" si="0"/>
        <v>12.099896812786739</v>
      </c>
      <c r="D46" s="15"/>
      <c r="E46" s="15">
        <f t="shared" si="2"/>
        <v>105661.27955920128</v>
      </c>
      <c r="F46" s="15">
        <f t="shared" si="1"/>
        <v>11.5679937808021</v>
      </c>
    </row>
    <row r="47" spans="1:6" ht="14.1" customHeight="1" x14ac:dyDescent="0.25">
      <c r="A47" s="13">
        <v>1991</v>
      </c>
      <c r="B47" s="14">
        <v>194423.3897501629</v>
      </c>
      <c r="C47" s="14">
        <f t="shared" si="0"/>
        <v>12.17779348141576</v>
      </c>
      <c r="D47" s="14"/>
      <c r="E47" s="14">
        <f t="shared" si="2"/>
        <v>110761.2335608674</v>
      </c>
      <c r="F47" s="14">
        <f t="shared" si="1"/>
        <v>11.61513211446437</v>
      </c>
    </row>
    <row r="48" spans="1:6" ht="14.1" customHeight="1" x14ac:dyDescent="0.25">
      <c r="A48" s="1">
        <v>1992</v>
      </c>
      <c r="B48" s="15">
        <v>208574.33398667749</v>
      </c>
      <c r="C48" s="15">
        <f t="shared" si="0"/>
        <v>12.248050774605295</v>
      </c>
      <c r="D48" s="15"/>
      <c r="E48" s="15">
        <f t="shared" si="2"/>
        <v>116107.34709162136</v>
      </c>
      <c r="F48" s="15">
        <f t="shared" si="1"/>
        <v>11.662270448126639</v>
      </c>
    </row>
    <row r="49" spans="1:6" ht="14.1" customHeight="1" x14ac:dyDescent="0.25">
      <c r="A49" s="13">
        <v>1993</v>
      </c>
      <c r="B49" s="14">
        <v>226050.3550999994</v>
      </c>
      <c r="C49" s="14">
        <f t="shared" si="0"/>
        <v>12.32851306361291</v>
      </c>
      <c r="D49" s="14"/>
      <c r="E49" s="14">
        <f t="shared" si="2"/>
        <v>121711.50153583266</v>
      </c>
      <c r="F49" s="14">
        <f t="shared" si="1"/>
        <v>11.709408781788909</v>
      </c>
    </row>
    <row r="50" spans="1:6" ht="14.1" customHeight="1" x14ac:dyDescent="0.25">
      <c r="A50" s="1">
        <v>1994</v>
      </c>
      <c r="B50" s="15">
        <v>242246.19129521359</v>
      </c>
      <c r="C50" s="15">
        <f t="shared" si="0"/>
        <v>12.397709807421837</v>
      </c>
      <c r="D50" s="15"/>
      <c r="E50" s="15">
        <f t="shared" si="2"/>
        <v>127586.15175676506</v>
      </c>
      <c r="F50" s="15">
        <f t="shared" si="1"/>
        <v>11.756547115451179</v>
      </c>
    </row>
    <row r="51" spans="1:6" ht="14.1" customHeight="1" x14ac:dyDescent="0.25">
      <c r="A51" s="13">
        <v>1995</v>
      </c>
      <c r="B51" s="14">
        <v>261733.5049980914</v>
      </c>
      <c r="C51" s="14">
        <f t="shared" si="0"/>
        <v>12.475082108592677</v>
      </c>
      <c r="D51" s="14"/>
      <c r="E51" s="14">
        <f t="shared" si="2"/>
        <v>133744.35377668779</v>
      </c>
      <c r="F51" s="14">
        <f t="shared" si="1"/>
        <v>11.803685449113448</v>
      </c>
    </row>
    <row r="52" spans="1:6" ht="14.1" customHeight="1" x14ac:dyDescent="0.25">
      <c r="A52" s="1">
        <v>1996</v>
      </c>
      <c r="B52" s="15">
        <v>285912.37566416862</v>
      </c>
      <c r="C52" s="15">
        <f t="shared" si="0"/>
        <v>12.563440664061805</v>
      </c>
      <c r="D52" s="15"/>
      <c r="E52" s="15">
        <f t="shared" si="2"/>
        <v>140199.79379302316</v>
      </c>
      <c r="F52" s="15">
        <f t="shared" si="1"/>
        <v>11.850823782775718</v>
      </c>
    </row>
    <row r="53" spans="1:6" ht="14.1" customHeight="1" x14ac:dyDescent="0.25">
      <c r="A53" s="13">
        <v>1997</v>
      </c>
      <c r="B53" s="14">
        <v>305533.19501577178</v>
      </c>
      <c r="C53" s="14">
        <f t="shared" si="0"/>
        <v>12.629813709680368</v>
      </c>
      <c r="D53" s="14"/>
      <c r="E53" s="14">
        <f t="shared" si="2"/>
        <v>146966.81859501675</v>
      </c>
      <c r="F53" s="14">
        <f t="shared" si="1"/>
        <v>11.89796211643799</v>
      </c>
    </row>
    <row r="54" spans="1:6" ht="14.1" customHeight="1" x14ac:dyDescent="0.25">
      <c r="A54" s="1">
        <v>1998</v>
      </c>
      <c r="B54" s="15">
        <v>328362.58344243438</v>
      </c>
      <c r="C54" s="15">
        <f t="shared" si="0"/>
        <v>12.701873714144842</v>
      </c>
      <c r="D54" s="15"/>
      <c r="E54" s="15">
        <f t="shared" si="2"/>
        <v>154060.46744852926</v>
      </c>
      <c r="F54" s="15">
        <f t="shared" si="1"/>
        <v>11.945100450100259</v>
      </c>
    </row>
    <row r="55" spans="1:6" ht="14.1" customHeight="1" x14ac:dyDescent="0.25">
      <c r="A55" s="13">
        <v>1999</v>
      </c>
      <c r="B55" s="14">
        <v>350628.35541712382</v>
      </c>
      <c r="C55" s="14">
        <f t="shared" si="0"/>
        <v>12.767482125030416</v>
      </c>
      <c r="D55" s="14"/>
      <c r="E55" s="14">
        <f t="shared" si="2"/>
        <v>161496.50551981211</v>
      </c>
      <c r="F55" s="14">
        <f t="shared" si="1"/>
        <v>11.992238783762529</v>
      </c>
    </row>
    <row r="56" spans="1:6" ht="14.1" customHeight="1" x14ac:dyDescent="0.25">
      <c r="A56" s="1">
        <v>2000</v>
      </c>
      <c r="B56" s="15">
        <v>369439.99942379817</v>
      </c>
      <c r="C56" s="15">
        <f t="shared" si="0"/>
        <v>12.819743623028659</v>
      </c>
      <c r="D56" s="15"/>
      <c r="E56" s="15">
        <f t="shared" si="2"/>
        <v>169291.45891254846</v>
      </c>
      <c r="F56" s="15">
        <f t="shared" si="1"/>
        <v>12.039377117424799</v>
      </c>
    </row>
    <row r="57" spans="1:6" ht="14.1" customHeight="1" x14ac:dyDescent="0.25">
      <c r="A57" s="13">
        <v>2001</v>
      </c>
      <c r="B57" s="14">
        <v>392173.0215229867</v>
      </c>
      <c r="C57" s="14">
        <f t="shared" si="0"/>
        <v>12.879458402828657</v>
      </c>
      <c r="D57" s="14"/>
      <c r="E57" s="14">
        <f t="shared" si="2"/>
        <v>177462.65139602774</v>
      </c>
      <c r="F57" s="14">
        <f t="shared" si="1"/>
        <v>12.086515451087068</v>
      </c>
    </row>
    <row r="58" spans="1:6" ht="14.1" customHeight="1" x14ac:dyDescent="0.25">
      <c r="A58" s="1">
        <v>2002</v>
      </c>
      <c r="B58" s="15">
        <v>402326.32075046992</v>
      </c>
      <c r="C58" s="15">
        <f t="shared" si="0"/>
        <v>12.905018781476237</v>
      </c>
      <c r="D58" s="15"/>
      <c r="E58" s="15">
        <f t="shared" si="2"/>
        <v>186028.24290607905</v>
      </c>
      <c r="F58" s="15">
        <f t="shared" si="1"/>
        <v>12.133653784749338</v>
      </c>
    </row>
    <row r="59" spans="1:6" ht="14.1" customHeight="1" x14ac:dyDescent="0.25">
      <c r="A59" s="13">
        <v>2003</v>
      </c>
      <c r="B59" s="14">
        <v>409811.92614950048</v>
      </c>
      <c r="C59" s="14">
        <f t="shared" si="0"/>
        <v>12.92345361672926</v>
      </c>
      <c r="D59" s="14"/>
      <c r="E59" s="14">
        <f t="shared" si="2"/>
        <v>195007.26990432967</v>
      </c>
      <c r="F59" s="14">
        <f t="shared" si="1"/>
        <v>12.180792118411608</v>
      </c>
    </row>
    <row r="60" spans="1:6" ht="14.1" customHeight="1" x14ac:dyDescent="0.25">
      <c r="A60" s="1">
        <v>2004</v>
      </c>
      <c r="B60" s="15">
        <v>416651.37090493809</v>
      </c>
      <c r="C60" s="15">
        <f t="shared" si="0"/>
        <v>12.940005110108403</v>
      </c>
      <c r="D60" s="15"/>
      <c r="E60" s="15">
        <f t="shared" si="2"/>
        <v>204419.68768548424</v>
      </c>
      <c r="F60" s="15">
        <f t="shared" si="1"/>
        <v>12.227930452073879</v>
      </c>
    </row>
    <row r="61" spans="1:6" ht="14.1" customHeight="1" x14ac:dyDescent="0.25">
      <c r="A61" s="13">
        <v>2005</v>
      </c>
      <c r="B61" s="14">
        <v>424390.3132440793</v>
      </c>
      <c r="C61" s="14">
        <f t="shared" si="0"/>
        <v>12.958408860871657</v>
      </c>
      <c r="D61" s="14"/>
      <c r="E61" s="14">
        <f t="shared" si="2"/>
        <v>214286.41472664979</v>
      </c>
      <c r="F61" s="14">
        <f t="shared" si="1"/>
        <v>12.275068785736149</v>
      </c>
    </row>
    <row r="62" spans="1:6" ht="14.1" customHeight="1" x14ac:dyDescent="0.25">
      <c r="A62" s="1">
        <v>2006</v>
      </c>
      <c r="B62" s="15">
        <v>430834.14855241921</v>
      </c>
      <c r="C62" s="15">
        <f t="shared" si="0"/>
        <v>12.973478488886123</v>
      </c>
      <c r="D62" s="15"/>
      <c r="E62" s="15">
        <f t="shared" si="2"/>
        <v>224629.37917726999</v>
      </c>
      <c r="F62" s="15">
        <f t="shared" si="1"/>
        <v>12.322207119398419</v>
      </c>
    </row>
    <row r="63" spans="1:6" ht="14.1" customHeight="1" x14ac:dyDescent="0.25">
      <c r="A63" s="13">
        <v>2007</v>
      </c>
      <c r="B63" s="14">
        <v>436066.90234865388</v>
      </c>
      <c r="C63" s="14">
        <f t="shared" si="0"/>
        <v>12.98555095631337</v>
      </c>
      <c r="D63" s="14"/>
      <c r="E63" s="14">
        <f t="shared" si="2"/>
        <v>235471.56759298971</v>
      </c>
      <c r="F63" s="14">
        <f t="shared" si="1"/>
        <v>12.369345453060689</v>
      </c>
    </row>
    <row r="64" spans="1:6" ht="14.1" customHeight="1" x14ac:dyDescent="0.25">
      <c r="A64" s="1">
        <v>2008</v>
      </c>
      <c r="B64" s="15">
        <v>439026.51738477661</v>
      </c>
      <c r="C64" s="15">
        <f t="shared" si="0"/>
        <v>12.992315094298606</v>
      </c>
      <c r="D64" s="15"/>
      <c r="E64" s="15">
        <f t="shared" si="2"/>
        <v>246837.07602175721</v>
      </c>
      <c r="F64" s="15">
        <f t="shared" si="1"/>
        <v>12.416483786722958</v>
      </c>
    </row>
    <row r="65" spans="1:6" ht="14.1" customHeight="1" x14ac:dyDescent="0.25">
      <c r="A65" s="13">
        <v>2009</v>
      </c>
      <c r="B65" s="14">
        <v>448352.17360516702</v>
      </c>
      <c r="C65" s="14">
        <f t="shared" si="0"/>
        <v>13.013334304378182</v>
      </c>
      <c r="D65" s="14"/>
      <c r="E65" s="14">
        <f t="shared" si="2"/>
        <v>258751.16355570001</v>
      </c>
      <c r="F65" s="14">
        <f t="shared" si="1"/>
        <v>12.463622120385228</v>
      </c>
    </row>
    <row r="66" spans="1:6" ht="14.1" customHeight="1" x14ac:dyDescent="0.25">
      <c r="A66" s="1">
        <v>2010</v>
      </c>
      <c r="B66" s="15">
        <v>448651.57251987088</v>
      </c>
      <c r="C66" s="15">
        <f t="shared" si="0"/>
        <v>13.014001857723674</v>
      </c>
      <c r="D66" s="15"/>
      <c r="E66" s="15">
        <f t="shared" si="2"/>
        <v>271240.30846778944</v>
      </c>
      <c r="F66" s="15">
        <f t="shared" si="1"/>
        <v>12.510760454047498</v>
      </c>
    </row>
    <row r="67" spans="1:6" ht="14.1" customHeight="1" x14ac:dyDescent="0.25">
      <c r="A67" s="13">
        <v>2011</v>
      </c>
      <c r="B67" s="14">
        <v>447630.44817939552</v>
      </c>
      <c r="C67" s="14">
        <f t="shared" si="0"/>
        <v>13.011723278529418</v>
      </c>
      <c r="D67" s="14"/>
      <c r="E67" s="14">
        <f t="shared" si="2"/>
        <v>284332.26705805422</v>
      </c>
      <c r="F67" s="14">
        <f t="shared" si="1"/>
        <v>12.557898787709767</v>
      </c>
    </row>
    <row r="68" spans="1:6" ht="14.1" customHeight="1" x14ac:dyDescent="0.25">
      <c r="A68" s="1">
        <v>2012</v>
      </c>
      <c r="B68" s="15">
        <v>448342.31165606022</v>
      </c>
      <c r="C68" s="15">
        <f t="shared" si="0"/>
        <v>13.013312308148096</v>
      </c>
      <c r="D68" s="15"/>
      <c r="E68" s="15">
        <f t="shared" si="2"/>
        <v>298056.13534012489</v>
      </c>
      <c r="F68" s="15">
        <f t="shared" si="1"/>
        <v>12.605037121372039</v>
      </c>
    </row>
    <row r="69" spans="1:6" ht="14.1" customHeight="1" x14ac:dyDescent="0.25">
      <c r="A69" s="13">
        <v>2013</v>
      </c>
      <c r="B69" s="14">
        <v>452460.09990167542</v>
      </c>
      <c r="C69" s="14">
        <f t="shared" si="0"/>
        <v>13.022454861221425</v>
      </c>
      <c r="D69" s="14"/>
      <c r="E69" s="14">
        <f t="shared" si="2"/>
        <v>312442.41370520298</v>
      </c>
      <c r="F69" s="14">
        <f t="shared" si="1"/>
        <v>12.652175455034309</v>
      </c>
    </row>
    <row r="70" spans="1:6" ht="14.1" customHeight="1" x14ac:dyDescent="0.25">
      <c r="A70" s="1">
        <v>2014</v>
      </c>
      <c r="B70" s="15">
        <v>456906.31627523119</v>
      </c>
      <c r="C70" s="15">
        <f t="shared" si="0"/>
        <v>13.032233651651982</v>
      </c>
      <c r="D70" s="15"/>
      <c r="E70" s="15">
        <f t="shared" si="2"/>
        <v>327523.07470716705</v>
      </c>
      <c r="F70" s="15">
        <f t="shared" si="1"/>
        <v>12.699313788696578</v>
      </c>
    </row>
    <row r="71" spans="1:6" ht="14.1" customHeight="1" x14ac:dyDescent="0.25">
      <c r="A71" s="13">
        <v>2015</v>
      </c>
      <c r="B71" s="14">
        <v>460945.92394146568</v>
      </c>
      <c r="C71" s="14">
        <f t="shared" si="0"/>
        <v>13.041036013452999</v>
      </c>
      <c r="D71" s="14"/>
      <c r="E71" s="14">
        <f t="shared" si="2"/>
        <v>343331.63411946263</v>
      </c>
      <c r="F71" s="14">
        <f t="shared" si="1"/>
        <v>12.746452122358848</v>
      </c>
    </row>
    <row r="72" spans="1:6" ht="14.1" customHeight="1" x14ac:dyDescent="0.25">
      <c r="A72" s="1">
        <v>2016</v>
      </c>
      <c r="B72" s="15">
        <v>467577.8518253045</v>
      </c>
      <c r="C72" s="15">
        <f t="shared" ref="C72:C79" si="3">LN(B72)</f>
        <v>13.055321141815202</v>
      </c>
      <c r="D72" s="15"/>
      <c r="E72" s="15">
        <f t="shared" si="2"/>
        <v>359903.22542169614</v>
      </c>
      <c r="F72" s="15">
        <f t="shared" ref="F72:F106" si="4">LN(E72)</f>
        <v>12.793590456021118</v>
      </c>
    </row>
    <row r="73" spans="1:6" ht="14.1" customHeight="1" x14ac:dyDescent="0.25">
      <c r="A73" s="13">
        <v>2017</v>
      </c>
      <c r="B73" s="14">
        <v>472698.71194968891</v>
      </c>
      <c r="C73" s="14">
        <f t="shared" si="3"/>
        <v>13.066213491898599</v>
      </c>
      <c r="D73" s="14"/>
      <c r="E73" s="14">
        <f t="shared" ref="E73:E106" si="5">E72*(1+$I$1)</f>
        <v>377274.67788147362</v>
      </c>
      <c r="F73" s="14">
        <f t="shared" si="4"/>
        <v>12.840728789683387</v>
      </c>
    </row>
    <row r="74" spans="1:6" ht="14.1" customHeight="1" x14ac:dyDescent="0.25">
      <c r="A74" s="1">
        <v>2018</v>
      </c>
      <c r="B74" s="15">
        <v>478270.59897767118</v>
      </c>
      <c r="C74" s="15">
        <f t="shared" si="3"/>
        <v>13.077931957943521</v>
      </c>
      <c r="D74" s="15"/>
      <c r="E74" s="15">
        <f t="shared" si="5"/>
        <v>395484.59840501664</v>
      </c>
      <c r="F74" s="15">
        <f t="shared" si="4"/>
        <v>12.887867123345657</v>
      </c>
    </row>
    <row r="75" spans="1:6" ht="14.1" customHeight="1" x14ac:dyDescent="0.25">
      <c r="A75" s="13">
        <v>2019</v>
      </c>
      <c r="B75" s="14">
        <v>487736.5652173913</v>
      </c>
      <c r="C75" s="14">
        <f t="shared" si="3"/>
        <v>13.097530713702911</v>
      </c>
      <c r="D75" s="14"/>
      <c r="E75" s="14">
        <f t="shared" si="5"/>
        <v>414573.45733846253</v>
      </c>
      <c r="F75" s="14">
        <f t="shared" si="4"/>
        <v>12.935005457007927</v>
      </c>
    </row>
    <row r="76" spans="1:6" ht="14.1" customHeight="1" x14ac:dyDescent="0.25">
      <c r="A76" s="1">
        <v>2020</v>
      </c>
      <c r="B76" s="15">
        <v>500986.7563668791</v>
      </c>
      <c r="C76" s="15">
        <f t="shared" si="3"/>
        <v>13.124334945320161</v>
      </c>
      <c r="D76" s="15"/>
      <c r="E76" s="15">
        <f t="shared" si="5"/>
        <v>434583.67841053673</v>
      </c>
      <c r="F76" s="15">
        <f t="shared" si="4"/>
        <v>12.982143790670198</v>
      </c>
    </row>
    <row r="77" spans="1:6" ht="14.1" customHeight="1" x14ac:dyDescent="0.25">
      <c r="A77" s="13">
        <v>2021</v>
      </c>
      <c r="B77" s="14">
        <v>515193.01456798799</v>
      </c>
      <c r="C77" s="14">
        <f t="shared" si="3"/>
        <v>13.152296895000214</v>
      </c>
      <c r="D77" s="14"/>
      <c r="E77" s="14">
        <f t="shared" si="5"/>
        <v>455559.73301648902</v>
      </c>
      <c r="F77" s="14">
        <f t="shared" si="4"/>
        <v>13.029282124332468</v>
      </c>
    </row>
    <row r="78" spans="1:6" ht="14.1" customHeight="1" x14ac:dyDescent="0.25">
      <c r="A78" s="1">
        <v>2022</v>
      </c>
      <c r="B78" s="15">
        <v>528121.2884221042</v>
      </c>
      <c r="C78" s="15">
        <f t="shared" si="3"/>
        <v>13.177081249229078</v>
      </c>
      <c r="D78" s="15"/>
      <c r="E78" s="15">
        <f t="shared" si="5"/>
        <v>477548.23905283364</v>
      </c>
      <c r="F78" s="15">
        <f t="shared" si="4"/>
        <v>13.076420457994738</v>
      </c>
    </row>
    <row r="79" spans="1:6" ht="14.1" customHeight="1" thickBot="1" x14ac:dyDescent="0.3">
      <c r="A79" s="16">
        <v>2023</v>
      </c>
      <c r="B79" s="17">
        <v>542977.66410783189</v>
      </c>
      <c r="C79" s="17">
        <f t="shared" si="3"/>
        <v>13.204823463830316</v>
      </c>
      <c r="D79" s="17">
        <v>13.204823463830316</v>
      </c>
      <c r="E79" s="17">
        <f t="shared" si="5"/>
        <v>500598.06452254631</v>
      </c>
      <c r="F79" s="17">
        <f t="shared" si="4"/>
        <v>13.123558791657008</v>
      </c>
    </row>
    <row r="80" spans="1:6" ht="14.1" customHeight="1" x14ac:dyDescent="0.25">
      <c r="A80" s="18">
        <v>2024</v>
      </c>
      <c r="B80" s="19">
        <f>B79*(1+$I$1)</f>
        <v>569185.5722690284</v>
      </c>
      <c r="C80" s="19"/>
      <c r="D80" s="19">
        <f>LN(B80)</f>
        <v>13.251961797492585</v>
      </c>
      <c r="E80" s="19">
        <f t="shared" si="5"/>
        <v>524760.43614097475</v>
      </c>
      <c r="F80" s="19">
        <f t="shared" si="4"/>
        <v>13.170697125319277</v>
      </c>
    </row>
    <row r="81" spans="1:6" ht="14.1" customHeight="1" x14ac:dyDescent="0.25">
      <c r="A81" s="18">
        <v>2025</v>
      </c>
      <c r="B81" s="19">
        <f t="shared" ref="B81:B106" si="6">B80*(1+$I$1)</f>
        <v>596658.45778673235</v>
      </c>
      <c r="C81" s="19"/>
      <c r="D81" s="19">
        <f t="shared" ref="D81:D106" si="7">LN(B81)</f>
        <v>13.299100131154857</v>
      </c>
      <c r="E81" s="19">
        <f t="shared" si="5"/>
        <v>550089.05318383139</v>
      </c>
      <c r="F81" s="19">
        <f t="shared" si="4"/>
        <v>13.217835458981547</v>
      </c>
    </row>
    <row r="82" spans="1:6" ht="14.1" customHeight="1" x14ac:dyDescent="0.25">
      <c r="A82" s="18">
        <v>2026</v>
      </c>
      <c r="B82" s="19">
        <f t="shared" si="6"/>
        <v>625457.37733523594</v>
      </c>
      <c r="C82" s="19"/>
      <c r="D82" s="19">
        <f t="shared" si="7"/>
        <v>13.346238464817127</v>
      </c>
      <c r="E82" s="19">
        <f t="shared" si="5"/>
        <v>576640.20683028852</v>
      </c>
      <c r="F82" s="19">
        <f t="shared" si="4"/>
        <v>13.264973792643818</v>
      </c>
    </row>
    <row r="83" spans="1:6" ht="14.1" customHeight="1" x14ac:dyDescent="0.25">
      <c r="A83" s="18">
        <v>2027</v>
      </c>
      <c r="B83" s="19">
        <f t="shared" si="6"/>
        <v>655646.33461191936</v>
      </c>
      <c r="C83" s="19"/>
      <c r="D83" s="19">
        <f t="shared" si="7"/>
        <v>13.393376798479396</v>
      </c>
      <c r="E83" s="19">
        <f t="shared" si="5"/>
        <v>604472.90526640741</v>
      </c>
      <c r="F83" s="19">
        <f t="shared" si="4"/>
        <v>13.312112126306088</v>
      </c>
    </row>
    <row r="84" spans="1:6" ht="14.1" customHeight="1" x14ac:dyDescent="0.25">
      <c r="A84" s="18">
        <v>2028</v>
      </c>
      <c r="B84" s="19">
        <f t="shared" si="6"/>
        <v>687292.42258124298</v>
      </c>
      <c r="C84" s="19"/>
      <c r="D84" s="19">
        <f t="shared" si="7"/>
        <v>13.440515132141666</v>
      </c>
      <c r="E84" s="19">
        <f t="shared" si="5"/>
        <v>633649.00482693652</v>
      </c>
      <c r="F84" s="19">
        <f t="shared" si="4"/>
        <v>13.359250459968358</v>
      </c>
    </row>
    <row r="85" spans="1:6" ht="14.1" customHeight="1" x14ac:dyDescent="0.25">
      <c r="A85" s="18">
        <v>2029</v>
      </c>
      <c r="B85" s="19">
        <f t="shared" si="6"/>
        <v>720465.97258443118</v>
      </c>
      <c r="C85" s="19"/>
      <c r="D85" s="19">
        <f t="shared" si="7"/>
        <v>13.487653465803936</v>
      </c>
      <c r="E85" s="19">
        <f t="shared" si="5"/>
        <v>664233.34746693133</v>
      </c>
      <c r="F85" s="19">
        <f t="shared" si="4"/>
        <v>13.406388793630628</v>
      </c>
    </row>
    <row r="86" spans="1:6" ht="14.1" customHeight="1" x14ac:dyDescent="0.25">
      <c r="A86" s="18">
        <v>2030</v>
      </c>
      <c r="B86" s="19">
        <f t="shared" si="6"/>
        <v>755240.71064623492</v>
      </c>
      <c r="C86" s="19"/>
      <c r="D86" s="19">
        <f t="shared" si="7"/>
        <v>13.534791799466205</v>
      </c>
      <c r="E86" s="19">
        <f t="shared" si="5"/>
        <v>696293.90486871859</v>
      </c>
      <c r="F86" s="19">
        <f t="shared" si="4"/>
        <v>13.453527127292897</v>
      </c>
    </row>
    <row r="87" spans="1:6" ht="14.1" customHeight="1" x14ac:dyDescent="0.25">
      <c r="A87" s="18">
        <v>2031</v>
      </c>
      <c r="B87" s="19">
        <f t="shared" si="6"/>
        <v>791693.92132615438</v>
      </c>
      <c r="C87" s="19"/>
      <c r="D87" s="19">
        <f t="shared" si="7"/>
        <v>13.581930133128475</v>
      </c>
      <c r="E87" s="19">
        <f t="shared" si="5"/>
        <v>729901.92950447276</v>
      </c>
      <c r="F87" s="19">
        <f t="shared" si="4"/>
        <v>13.500665460955167</v>
      </c>
    </row>
    <row r="88" spans="1:6" ht="14.1" customHeight="1" x14ac:dyDescent="0.25">
      <c r="A88" s="18">
        <v>2032</v>
      </c>
      <c r="B88" s="19">
        <f t="shared" si="6"/>
        <v>829906.61947826995</v>
      </c>
      <c r="C88" s="19"/>
      <c r="D88" s="19">
        <f t="shared" si="7"/>
        <v>13.629068466790745</v>
      </c>
      <c r="E88" s="19">
        <f t="shared" si="5"/>
        <v>765132.1129901316</v>
      </c>
      <c r="F88" s="19">
        <f t="shared" si="4"/>
        <v>13.547803794617437</v>
      </c>
    </row>
    <row r="89" spans="1:6" ht="14.1" customHeight="1" x14ac:dyDescent="0.25">
      <c r="A89" s="18">
        <v>2033</v>
      </c>
      <c r="B89" s="19">
        <f t="shared" si="6"/>
        <v>869963.73030140717</v>
      </c>
      <c r="C89" s="19"/>
      <c r="D89" s="19">
        <f t="shared" si="7"/>
        <v>13.676206800453016</v>
      </c>
      <c r="E89" s="19">
        <f t="shared" si="5"/>
        <v>802062.75208258117</v>
      </c>
      <c r="F89" s="19">
        <f t="shared" si="4"/>
        <v>13.594942128279708</v>
      </c>
    </row>
    <row r="90" spans="1:6" ht="14.1" customHeight="1" x14ac:dyDescent="0.25">
      <c r="A90" s="18">
        <v>2034</v>
      </c>
      <c r="B90" s="19">
        <f t="shared" si="6"/>
        <v>911954.27807978378</v>
      </c>
      <c r="C90" s="19"/>
      <c r="D90" s="19">
        <f t="shared" si="7"/>
        <v>13.723345134115286</v>
      </c>
      <c r="E90" s="19">
        <f t="shared" si="5"/>
        <v>840775.92268902867</v>
      </c>
      <c r="F90" s="19">
        <f t="shared" si="4"/>
        <v>13.642080461941978</v>
      </c>
    </row>
    <row r="91" spans="1:6" ht="14.1" customHeight="1" x14ac:dyDescent="0.25">
      <c r="A91" s="18">
        <v>2035</v>
      </c>
      <c r="B91" s="19">
        <f t="shared" si="6"/>
        <v>955971.58403360436</v>
      </c>
      <c r="C91" s="19"/>
      <c r="D91" s="19">
        <f t="shared" si="7"/>
        <v>13.770483467777556</v>
      </c>
      <c r="E91" s="19">
        <f t="shared" si="5"/>
        <v>881357.66227528779</v>
      </c>
      <c r="F91" s="19">
        <f t="shared" si="4"/>
        <v>13.689218795604248</v>
      </c>
    </row>
    <row r="92" spans="1:6" ht="14.1" customHeight="1" x14ac:dyDescent="0.25">
      <c r="A92" s="18">
        <v>2036</v>
      </c>
      <c r="B92" s="19">
        <f t="shared" si="6"/>
        <v>1002113.4737193111</v>
      </c>
      <c r="C92" s="19"/>
      <c r="D92" s="19">
        <f t="shared" si="7"/>
        <v>13.817621801439826</v>
      </c>
      <c r="E92" s="19">
        <f t="shared" si="5"/>
        <v>923898.16107836633</v>
      </c>
      <c r="F92" s="19">
        <f t="shared" si="4"/>
        <v>13.736357129266517</v>
      </c>
    </row>
    <row r="93" spans="1:6" ht="14.1" customHeight="1" x14ac:dyDescent="0.25">
      <c r="A93" s="18">
        <v>2037</v>
      </c>
      <c r="B93" s="19">
        <f t="shared" si="6"/>
        <v>1050482.4944404243</v>
      </c>
      <c r="C93" s="19"/>
      <c r="D93" s="19">
        <f t="shared" si="7"/>
        <v>13.864760135102095</v>
      </c>
      <c r="E93" s="19">
        <f t="shared" si="5"/>
        <v>968491.96254831331</v>
      </c>
      <c r="F93" s="19">
        <f t="shared" si="4"/>
        <v>13.783495462928787</v>
      </c>
    </row>
    <row r="94" spans="1:6" ht="14.1" customHeight="1" x14ac:dyDescent="0.25">
      <c r="A94" s="18">
        <v>2038</v>
      </c>
      <c r="B94" s="19">
        <f t="shared" si="6"/>
        <v>1101186.1431521543</v>
      </c>
      <c r="C94" s="19"/>
      <c r="D94" s="19">
        <f t="shared" si="7"/>
        <v>13.911898468764365</v>
      </c>
      <c r="E94" s="19">
        <f t="shared" si="5"/>
        <v>1015238.1734647949</v>
      </c>
      <c r="F94" s="19">
        <f t="shared" si="4"/>
        <v>13.830633796591057</v>
      </c>
    </row>
    <row r="95" spans="1:6" ht="14.1" customHeight="1" x14ac:dyDescent="0.25">
      <c r="A95" s="18">
        <v>2039</v>
      </c>
      <c r="B95" s="19">
        <f t="shared" si="6"/>
        <v>1154337.1053662878</v>
      </c>
      <c r="C95" s="19"/>
      <c r="D95" s="19">
        <f t="shared" si="7"/>
        <v>13.959036802426635</v>
      </c>
      <c r="E95" s="19">
        <f t="shared" si="5"/>
        <v>1064240.6841953692</v>
      </c>
      <c r="F95" s="19">
        <f t="shared" si="4"/>
        <v>13.877772130253327</v>
      </c>
    </row>
    <row r="96" spans="1:6" ht="14.1" customHeight="1" x14ac:dyDescent="0.25">
      <c r="A96" s="18">
        <v>2040</v>
      </c>
      <c r="B96" s="19">
        <f t="shared" si="6"/>
        <v>1210053.5055872977</v>
      </c>
      <c r="C96" s="19"/>
      <c r="D96" s="19">
        <f t="shared" si="7"/>
        <v>14.006175136088906</v>
      </c>
      <c r="E96" s="19">
        <f t="shared" si="5"/>
        <v>1115608.3995849697</v>
      </c>
      <c r="F96" s="19">
        <f t="shared" si="4"/>
        <v>13.924910463915596</v>
      </c>
    </row>
    <row r="97" spans="1:6" ht="14.1" customHeight="1" x14ac:dyDescent="0.25">
      <c r="A97" s="18">
        <v>2041</v>
      </c>
      <c r="B97" s="19">
        <f t="shared" si="6"/>
        <v>1268459.1698362562</v>
      </c>
      <c r="C97" s="19"/>
      <c r="D97" s="19">
        <f t="shared" si="7"/>
        <v>14.053313469751176</v>
      </c>
      <c r="E97" s="19">
        <f t="shared" si="5"/>
        <v>1169455.4809897325</v>
      </c>
      <c r="F97" s="19">
        <f t="shared" si="4"/>
        <v>13.972048797577868</v>
      </c>
    </row>
    <row r="98" spans="1:6" ht="14.1" customHeight="1" x14ac:dyDescent="0.25">
      <c r="A98" s="18">
        <v>2042</v>
      </c>
      <c r="B98" s="19">
        <f t="shared" si="6"/>
        <v>1329683.900845991</v>
      </c>
      <c r="C98" s="19"/>
      <c r="D98" s="19">
        <f t="shared" si="7"/>
        <v>14.100451803413446</v>
      </c>
      <c r="E98" s="19">
        <f t="shared" si="5"/>
        <v>1225901.5999930736</v>
      </c>
      <c r="F98" s="19">
        <f t="shared" si="4"/>
        <v>14.019187131240137</v>
      </c>
    </row>
    <row r="99" spans="1:6" ht="14.1" customHeight="1" x14ac:dyDescent="0.25">
      <c r="A99" s="18">
        <v>2043</v>
      </c>
      <c r="B99" s="19">
        <f t="shared" si="6"/>
        <v>1393863.7665390901</v>
      </c>
      <c r="C99" s="19"/>
      <c r="D99" s="19">
        <f t="shared" si="7"/>
        <v>14.147590137075715</v>
      </c>
      <c r="E99" s="19">
        <f t="shared" si="5"/>
        <v>1285072.2043678823</v>
      </c>
      <c r="F99" s="19">
        <f t="shared" si="4"/>
        <v>14.066325464902407</v>
      </c>
    </row>
    <row r="100" spans="1:6" ht="14.1" customHeight="1" x14ac:dyDescent="0.25">
      <c r="A100" s="18">
        <v>2044</v>
      </c>
      <c r="B100" s="19">
        <f t="shared" si="6"/>
        <v>1461141.4024298757</v>
      </c>
      <c r="C100" s="19"/>
      <c r="D100" s="19">
        <f t="shared" si="7"/>
        <v>14.194728470737985</v>
      </c>
      <c r="E100" s="19">
        <f t="shared" si="5"/>
        <v>1347098.7968759148</v>
      </c>
      <c r="F100" s="19">
        <f t="shared" si="4"/>
        <v>14.113463798564677</v>
      </c>
    </row>
    <row r="101" spans="1:6" ht="14.1" customHeight="1" x14ac:dyDescent="0.25">
      <c r="A101" s="18">
        <v>2045</v>
      </c>
      <c r="B101" s="19">
        <f t="shared" si="6"/>
        <v>1531666.3286224185</v>
      </c>
      <c r="C101" s="19"/>
      <c r="D101" s="19">
        <f t="shared" si="7"/>
        <v>14.241866804400255</v>
      </c>
      <c r="E101" s="19">
        <f t="shared" si="5"/>
        <v>1412119.2275239995</v>
      </c>
      <c r="F101" s="19">
        <f t="shared" si="4"/>
        <v>14.160602132226947</v>
      </c>
    </row>
    <row r="102" spans="1:6" ht="14.1" customHeight="1" x14ac:dyDescent="0.25">
      <c r="A102" s="18">
        <v>2046</v>
      </c>
      <c r="B102" s="19">
        <f t="shared" si="6"/>
        <v>1605595.2821090973</v>
      </c>
      <c r="C102" s="19"/>
      <c r="D102" s="19">
        <f t="shared" si="7"/>
        <v>14.289005138062524</v>
      </c>
      <c r="E102" s="19">
        <f t="shared" si="5"/>
        <v>1480277.9999265769</v>
      </c>
      <c r="F102" s="19">
        <f t="shared" si="4"/>
        <v>14.207740465889216</v>
      </c>
    </row>
    <row r="103" spans="1:6" ht="14.1" customHeight="1" x14ac:dyDescent="0.25">
      <c r="A103" s="18">
        <v>2047</v>
      </c>
      <c r="B103" s="19">
        <f t="shared" si="6"/>
        <v>1683092.5651082171</v>
      </c>
      <c r="C103" s="19"/>
      <c r="D103" s="19">
        <f t="shared" si="7"/>
        <v>14.336143471724794</v>
      </c>
      <c r="E103" s="19">
        <f t="shared" si="5"/>
        <v>1551726.5924554418</v>
      </c>
      <c r="F103" s="19">
        <f t="shared" si="4"/>
        <v>14.254878799551486</v>
      </c>
    </row>
    <row r="104" spans="1:6" ht="14.1" customHeight="1" x14ac:dyDescent="0.25">
      <c r="A104" s="18">
        <v>2048</v>
      </c>
      <c r="B104" s="19">
        <f t="shared" si="6"/>
        <v>1764330.4102148416</v>
      </c>
      <c r="C104" s="19"/>
      <c r="D104" s="19">
        <f t="shared" si="7"/>
        <v>14.383281805387066</v>
      </c>
      <c r="E104" s="19">
        <f t="shared" si="5"/>
        <v>1626623.7948904252</v>
      </c>
      <c r="F104" s="19">
        <f t="shared" si="4"/>
        <v>14.302017133213758</v>
      </c>
    </row>
    <row r="105" spans="1:6" ht="14.1" customHeight="1" x14ac:dyDescent="0.25">
      <c r="A105" s="18">
        <v>2049</v>
      </c>
      <c r="B105" s="19">
        <f t="shared" si="6"/>
        <v>1849489.3631763652</v>
      </c>
      <c r="C105" s="19"/>
      <c r="D105" s="19">
        <f t="shared" si="7"/>
        <v>14.430420139049335</v>
      </c>
      <c r="E105" s="19">
        <f t="shared" si="5"/>
        <v>1705136.0613191952</v>
      </c>
      <c r="F105" s="19">
        <f t="shared" si="4"/>
        <v>14.349155466876027</v>
      </c>
    </row>
    <row r="106" spans="1:6" ht="14.1" customHeight="1" x14ac:dyDescent="0.25">
      <c r="A106" s="18">
        <v>2050</v>
      </c>
      <c r="B106" s="19">
        <f t="shared" si="6"/>
        <v>1938758.6841435162</v>
      </c>
      <c r="C106" s="19"/>
      <c r="D106" s="19">
        <f t="shared" si="7"/>
        <v>14.477558472711605</v>
      </c>
      <c r="E106" s="19">
        <f t="shared" si="5"/>
        <v>1787437.8800704782</v>
      </c>
      <c r="F106" s="19">
        <f t="shared" si="4"/>
        <v>14.396293800538297</v>
      </c>
    </row>
    <row r="108" spans="1:6" x14ac:dyDescent="0.25">
      <c r="A108" s="57" t="s">
        <v>45</v>
      </c>
      <c r="B108" s="49"/>
      <c r="C108" s="49"/>
      <c r="D108" s="49"/>
      <c r="E108" s="49"/>
      <c r="F108" s="49"/>
    </row>
  </sheetData>
  <mergeCells count="5">
    <mergeCell ref="A108:F108"/>
    <mergeCell ref="A1:F1"/>
    <mergeCell ref="A4:F4"/>
    <mergeCell ref="A3:F3"/>
    <mergeCell ref="A2:F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8"/>
  <sheetViews>
    <sheetView showGridLines="0" topLeftCell="A63" zoomScale="76" workbookViewId="0">
      <selection activeCell="B7" sqref="B7"/>
    </sheetView>
  </sheetViews>
  <sheetFormatPr baseColWidth="10" defaultColWidth="39" defaultRowHeight="15" x14ac:dyDescent="0.25"/>
  <sheetData>
    <row r="1" spans="1:6" ht="27.95" customHeight="1" x14ac:dyDescent="0.25">
      <c r="A1" s="58" t="s">
        <v>50</v>
      </c>
      <c r="B1" s="49"/>
      <c r="C1" s="49"/>
      <c r="E1" s="32" t="s">
        <v>110</v>
      </c>
      <c r="F1" s="35">
        <f>LN(B79/B7)/72</f>
        <v>3.7673660096052266E-3</v>
      </c>
    </row>
    <row r="2" spans="1:6" ht="15.95" customHeight="1" x14ac:dyDescent="0.25">
      <c r="A2" s="61" t="s">
        <v>51</v>
      </c>
      <c r="B2" s="49"/>
      <c r="C2" s="49"/>
    </row>
    <row r="3" spans="1:6" ht="18" customHeight="1" x14ac:dyDescent="0.25">
      <c r="A3" s="62" t="s">
        <v>117</v>
      </c>
      <c r="B3" s="49"/>
      <c r="C3" s="49"/>
    </row>
    <row r="4" spans="1:6" ht="24" customHeight="1" x14ac:dyDescent="0.25">
      <c r="A4" s="59" t="s">
        <v>52</v>
      </c>
      <c r="B4" s="49"/>
      <c r="C4" s="49"/>
    </row>
    <row r="5" spans="1:6" ht="6" customHeight="1" x14ac:dyDescent="0.25"/>
    <row r="6" spans="1:6" ht="20.100000000000001" customHeight="1" x14ac:dyDescent="0.25">
      <c r="A6" s="12" t="s">
        <v>41</v>
      </c>
      <c r="B6" s="12" t="s">
        <v>53</v>
      </c>
      <c r="C6" s="12" t="s">
        <v>44</v>
      </c>
    </row>
    <row r="7" spans="1:6" ht="14.1" customHeight="1" x14ac:dyDescent="0.25">
      <c r="A7" s="13">
        <v>1951</v>
      </c>
      <c r="B7" s="20">
        <v>3.191071522561534</v>
      </c>
      <c r="C7" s="20"/>
    </row>
    <row r="8" spans="1:6" ht="14.1" customHeight="1" x14ac:dyDescent="0.25">
      <c r="A8" s="1">
        <v>1952</v>
      </c>
      <c r="B8" s="21">
        <v>2.8114396551386278</v>
      </c>
      <c r="C8" s="21"/>
    </row>
    <row r="9" spans="1:6" ht="14.1" customHeight="1" x14ac:dyDescent="0.25">
      <c r="A9" s="13">
        <v>1953</v>
      </c>
      <c r="B9" s="20">
        <v>2.6743461625337721</v>
      </c>
      <c r="C9" s="20"/>
    </row>
    <row r="10" spans="1:6" ht="14.1" customHeight="1" x14ac:dyDescent="0.25">
      <c r="A10" s="1">
        <v>1954</v>
      </c>
      <c r="B10" s="21">
        <v>2.606053576694455</v>
      </c>
      <c r="C10" s="21"/>
    </row>
    <row r="11" spans="1:6" ht="14.1" customHeight="1" x14ac:dyDescent="0.25">
      <c r="A11" s="13">
        <v>1955</v>
      </c>
      <c r="B11" s="20">
        <v>2.503745214350789</v>
      </c>
      <c r="C11" s="20"/>
    </row>
    <row r="12" spans="1:6" ht="14.1" customHeight="1" x14ac:dyDescent="0.25">
      <c r="A12" s="1">
        <v>1956</v>
      </c>
      <c r="B12" s="21">
        <v>2.4609839330731549</v>
      </c>
      <c r="C12" s="21"/>
    </row>
    <row r="13" spans="1:6" ht="14.1" customHeight="1" x14ac:dyDescent="0.25">
      <c r="A13" s="13">
        <v>1957</v>
      </c>
      <c r="B13" s="20">
        <v>2.353654956828847</v>
      </c>
      <c r="C13" s="20"/>
    </row>
    <row r="14" spans="1:6" ht="14.1" customHeight="1" x14ac:dyDescent="0.25">
      <c r="A14" s="1">
        <v>1958</v>
      </c>
      <c r="B14" s="21">
        <v>2.3129493334983771</v>
      </c>
      <c r="C14" s="21"/>
    </row>
    <row r="15" spans="1:6" ht="14.1" customHeight="1" x14ac:dyDescent="0.25">
      <c r="A15" s="13">
        <v>1959</v>
      </c>
      <c r="B15" s="20">
        <v>2.2967338917990401</v>
      </c>
      <c r="C15" s="20"/>
    </row>
    <row r="16" spans="1:6" ht="14.1" customHeight="1" x14ac:dyDescent="0.25">
      <c r="A16" s="1">
        <v>1960</v>
      </c>
      <c r="B16" s="21">
        <v>2.290475491595088</v>
      </c>
      <c r="C16" s="21"/>
    </row>
    <row r="17" spans="1:3" ht="14.1" customHeight="1" x14ac:dyDescent="0.25">
      <c r="A17" s="13">
        <v>1961</v>
      </c>
      <c r="B17" s="20">
        <v>2.253383895537755</v>
      </c>
      <c r="C17" s="20"/>
    </row>
    <row r="18" spans="1:3" ht="14.1" customHeight="1" x14ac:dyDescent="0.25">
      <c r="A18" s="1">
        <v>1962</v>
      </c>
      <c r="B18" s="21">
        <v>2.2122122719741859</v>
      </c>
      <c r="C18" s="21"/>
    </row>
    <row r="19" spans="1:3" ht="14.1" customHeight="1" x14ac:dyDescent="0.25">
      <c r="A19" s="13">
        <v>1963</v>
      </c>
      <c r="B19" s="20">
        <v>2.118318358756929</v>
      </c>
      <c r="C19" s="20"/>
    </row>
    <row r="20" spans="1:3" ht="14.1" customHeight="1" x14ac:dyDescent="0.25">
      <c r="A20" s="1">
        <v>1964</v>
      </c>
      <c r="B20" s="21">
        <v>1.999841030472072</v>
      </c>
      <c r="C20" s="21"/>
    </row>
    <row r="21" spans="1:3" ht="14.1" customHeight="1" x14ac:dyDescent="0.25">
      <c r="A21" s="13">
        <v>1965</v>
      </c>
      <c r="B21" s="20">
        <v>2.0138677425757581</v>
      </c>
      <c r="C21" s="20"/>
    </row>
    <row r="22" spans="1:3" ht="14.1" customHeight="1" x14ac:dyDescent="0.25">
      <c r="A22" s="1">
        <v>1966</v>
      </c>
      <c r="B22" s="21">
        <v>2.060630159534333</v>
      </c>
      <c r="C22" s="21"/>
    </row>
    <row r="23" spans="1:3" ht="14.1" customHeight="1" x14ac:dyDescent="0.25">
      <c r="A23" s="13">
        <v>1967</v>
      </c>
      <c r="B23" s="20">
        <v>2.0824300414493839</v>
      </c>
      <c r="C23" s="20"/>
    </row>
    <row r="24" spans="1:3" ht="14.1" customHeight="1" x14ac:dyDescent="0.25">
      <c r="A24" s="1">
        <v>1968</v>
      </c>
      <c r="B24" s="21">
        <v>2.141057986886064</v>
      </c>
      <c r="C24" s="21"/>
    </row>
    <row r="25" spans="1:3" ht="14.1" customHeight="1" x14ac:dyDescent="0.25">
      <c r="A25" s="13">
        <v>1969</v>
      </c>
      <c r="B25" s="20">
        <v>2.1816995137676729</v>
      </c>
      <c r="C25" s="20"/>
    </row>
    <row r="26" spans="1:3" ht="14.1" customHeight="1" x14ac:dyDescent="0.25">
      <c r="A26" s="1">
        <v>1970</v>
      </c>
      <c r="B26" s="21">
        <v>2.1838741065628602</v>
      </c>
      <c r="C26" s="21"/>
    </row>
    <row r="27" spans="1:3" ht="14.1" customHeight="1" x14ac:dyDescent="0.25">
      <c r="A27" s="13">
        <v>1971</v>
      </c>
      <c r="B27" s="20">
        <v>2.2051846960293511</v>
      </c>
      <c r="C27" s="20"/>
    </row>
    <row r="28" spans="1:3" ht="14.1" customHeight="1" x14ac:dyDescent="0.25">
      <c r="A28" s="1">
        <v>1972</v>
      </c>
      <c r="B28" s="21">
        <v>2.2055265363730032</v>
      </c>
      <c r="C28" s="21"/>
    </row>
    <row r="29" spans="1:3" ht="14.1" customHeight="1" x14ac:dyDescent="0.25">
      <c r="A29" s="13">
        <v>1973</v>
      </c>
      <c r="B29" s="20">
        <v>2.245357204853148</v>
      </c>
      <c r="C29" s="20"/>
    </row>
    <row r="30" spans="1:3" ht="14.1" customHeight="1" x14ac:dyDescent="0.25">
      <c r="A30" s="1">
        <v>1974</v>
      </c>
      <c r="B30" s="21">
        <v>2.6299489223238539</v>
      </c>
      <c r="C30" s="21"/>
    </row>
    <row r="31" spans="1:3" ht="14.1" customHeight="1" x14ac:dyDescent="0.25">
      <c r="A31" s="13">
        <v>1975</v>
      </c>
      <c r="B31" s="20">
        <v>2.9175891951373072</v>
      </c>
      <c r="C31" s="20"/>
    </row>
    <row r="32" spans="1:3" ht="14.1" customHeight="1" x14ac:dyDescent="0.25">
      <c r="A32" s="1">
        <v>1976</v>
      </c>
      <c r="B32" s="21">
        <v>2.76666570782564</v>
      </c>
      <c r="C32" s="21"/>
    </row>
    <row r="33" spans="1:3" ht="14.1" customHeight="1" x14ac:dyDescent="0.25">
      <c r="A33" s="13">
        <v>1977</v>
      </c>
      <c r="B33" s="20">
        <v>2.7892315485166419</v>
      </c>
      <c r="C33" s="20"/>
    </row>
    <row r="34" spans="1:3" ht="14.1" customHeight="1" x14ac:dyDescent="0.25">
      <c r="A34" s="1">
        <v>1978</v>
      </c>
      <c r="B34" s="21">
        <v>2.7406522533142739</v>
      </c>
      <c r="C34" s="21"/>
    </row>
    <row r="35" spans="1:3" ht="14.1" customHeight="1" x14ac:dyDescent="0.25">
      <c r="A35" s="13">
        <v>1979</v>
      </c>
      <c r="B35" s="20">
        <v>2.851794116768271</v>
      </c>
      <c r="C35" s="20"/>
    </row>
    <row r="36" spans="1:3" ht="14.1" customHeight="1" x14ac:dyDescent="0.25">
      <c r="A36" s="1">
        <v>1980</v>
      </c>
      <c r="B36" s="21">
        <v>3.0482947209272462</v>
      </c>
      <c r="C36" s="21"/>
    </row>
    <row r="37" spans="1:3" ht="14.1" customHeight="1" x14ac:dyDescent="0.25">
      <c r="A37" s="13">
        <v>1981</v>
      </c>
      <c r="B37" s="20">
        <v>3.162129202472308</v>
      </c>
      <c r="C37" s="20"/>
    </row>
    <row r="38" spans="1:3" ht="14.1" customHeight="1" x14ac:dyDescent="0.25">
      <c r="A38" s="1">
        <v>1982</v>
      </c>
      <c r="B38" s="21">
        <v>3.2892328869131569</v>
      </c>
      <c r="C38" s="21"/>
    </row>
    <row r="39" spans="1:3" ht="14.1" customHeight="1" x14ac:dyDescent="0.25">
      <c r="A39" s="13">
        <v>1983</v>
      </c>
      <c r="B39" s="20">
        <v>3.262920355241222</v>
      </c>
      <c r="C39" s="20"/>
    </row>
    <row r="40" spans="1:3" ht="14.1" customHeight="1" x14ac:dyDescent="0.25">
      <c r="A40" s="1">
        <v>1984</v>
      </c>
      <c r="B40" s="21">
        <v>3.2182778082726009</v>
      </c>
      <c r="C40" s="21"/>
    </row>
    <row r="41" spans="1:3" ht="14.1" customHeight="1" x14ac:dyDescent="0.25">
      <c r="A41" s="13">
        <v>1985</v>
      </c>
      <c r="B41" s="20">
        <v>3.2664380899002849</v>
      </c>
      <c r="C41" s="20"/>
    </row>
    <row r="42" spans="1:3" ht="14.1" customHeight="1" x14ac:dyDescent="0.25">
      <c r="A42" s="1">
        <v>1986</v>
      </c>
      <c r="B42" s="21">
        <v>3.068259693936001</v>
      </c>
      <c r="C42" s="21"/>
    </row>
    <row r="43" spans="1:3" ht="14.1" customHeight="1" x14ac:dyDescent="0.25">
      <c r="A43" s="13">
        <v>1987</v>
      </c>
      <c r="B43" s="20">
        <v>3.0084123029541212</v>
      </c>
      <c r="C43" s="20"/>
    </row>
    <row r="44" spans="1:3" ht="14.1" customHeight="1" x14ac:dyDescent="0.25">
      <c r="A44" s="1">
        <v>1988</v>
      </c>
      <c r="B44" s="21">
        <v>3.1123654277061021</v>
      </c>
      <c r="C44" s="21"/>
    </row>
    <row r="45" spans="1:3" ht="14.1" customHeight="1" x14ac:dyDescent="0.25">
      <c r="A45" s="13">
        <v>1989</v>
      </c>
      <c r="B45" s="20">
        <v>3.13164606058122</v>
      </c>
      <c r="C45" s="20"/>
    </row>
    <row r="46" spans="1:3" ht="14.1" customHeight="1" x14ac:dyDescent="0.25">
      <c r="A46" s="1">
        <v>1990</v>
      </c>
      <c r="B46" s="21">
        <v>3.246896927285337</v>
      </c>
      <c r="C46" s="21"/>
    </row>
    <row r="47" spans="1:3" ht="14.1" customHeight="1" x14ac:dyDescent="0.25">
      <c r="A47" s="13">
        <v>1991</v>
      </c>
      <c r="B47" s="20">
        <v>3.2799424112154272</v>
      </c>
      <c r="C47" s="20"/>
    </row>
    <row r="48" spans="1:3" ht="14.1" customHeight="1" x14ac:dyDescent="0.25">
      <c r="A48" s="1">
        <v>1992</v>
      </c>
      <c r="B48" s="21">
        <v>3.3706994100706522</v>
      </c>
      <c r="C48" s="21"/>
    </row>
    <row r="49" spans="1:3" ht="14.1" customHeight="1" x14ac:dyDescent="0.25">
      <c r="A49" s="13">
        <v>1993</v>
      </c>
      <c r="B49" s="20">
        <v>3.464985596099083</v>
      </c>
      <c r="C49" s="20"/>
    </row>
    <row r="50" spans="1:3" ht="14.1" customHeight="1" x14ac:dyDescent="0.25">
      <c r="A50" s="1">
        <v>1994</v>
      </c>
      <c r="B50" s="21">
        <v>3.5514448267099978</v>
      </c>
      <c r="C50" s="21"/>
    </row>
    <row r="51" spans="1:3" ht="14.1" customHeight="1" x14ac:dyDescent="0.25">
      <c r="A51" s="13">
        <v>1995</v>
      </c>
      <c r="B51" s="20">
        <v>3.6672281689928732</v>
      </c>
      <c r="C51" s="20"/>
    </row>
    <row r="52" spans="1:3" ht="14.1" customHeight="1" x14ac:dyDescent="0.25">
      <c r="A52" s="1">
        <v>1996</v>
      </c>
      <c r="B52" s="21">
        <v>3.691097581256785</v>
      </c>
      <c r="C52" s="21"/>
    </row>
    <row r="53" spans="1:3" ht="14.1" customHeight="1" x14ac:dyDescent="0.25">
      <c r="A53" s="13">
        <v>1997</v>
      </c>
      <c r="B53" s="20">
        <v>3.7422982386574</v>
      </c>
      <c r="C53" s="20"/>
    </row>
    <row r="54" spans="1:3" ht="14.1" customHeight="1" x14ac:dyDescent="0.25">
      <c r="A54" s="1">
        <v>1998</v>
      </c>
      <c r="B54" s="21">
        <v>3.8233358034276779</v>
      </c>
      <c r="C54" s="21"/>
    </row>
    <row r="55" spans="1:3" ht="14.1" customHeight="1" x14ac:dyDescent="0.25">
      <c r="A55" s="13">
        <v>1999</v>
      </c>
      <c r="B55" s="20">
        <v>3.9313118630852268</v>
      </c>
      <c r="C55" s="20"/>
    </row>
    <row r="56" spans="1:3" ht="14.1" customHeight="1" x14ac:dyDescent="0.25">
      <c r="A56" s="1">
        <v>2000</v>
      </c>
      <c r="B56" s="21">
        <v>4.0332890346045396</v>
      </c>
      <c r="C56" s="21"/>
    </row>
    <row r="57" spans="1:3" ht="14.1" customHeight="1" x14ac:dyDescent="0.25">
      <c r="A57" s="13">
        <v>2001</v>
      </c>
      <c r="B57" s="20">
        <v>4.245905260411015</v>
      </c>
      <c r="C57" s="20"/>
    </row>
    <row r="58" spans="1:3" ht="14.1" customHeight="1" x14ac:dyDescent="0.25">
      <c r="A58" s="1">
        <v>2002</v>
      </c>
      <c r="B58" s="21">
        <v>4.2006942271475456</v>
      </c>
      <c r="C58" s="21"/>
    </row>
    <row r="59" spans="1:3" ht="14.1" customHeight="1" x14ac:dyDescent="0.25">
      <c r="A59" s="13">
        <v>2003</v>
      </c>
      <c r="B59" s="20">
        <v>4.2408781516372622</v>
      </c>
      <c r="C59" s="20"/>
    </row>
    <row r="60" spans="1:3" ht="14.1" customHeight="1" x14ac:dyDescent="0.25">
      <c r="A60" s="1">
        <v>2004</v>
      </c>
      <c r="B60" s="21">
        <v>4.2592189356195389</v>
      </c>
      <c r="C60" s="21"/>
    </row>
    <row r="61" spans="1:3" ht="14.1" customHeight="1" x14ac:dyDescent="0.25">
      <c r="A61" s="13">
        <v>2005</v>
      </c>
      <c r="B61" s="20">
        <v>4.2833423494811758</v>
      </c>
      <c r="C61" s="20"/>
    </row>
    <row r="62" spans="1:3" ht="14.1" customHeight="1" x14ac:dyDescent="0.25">
      <c r="A62" s="1">
        <v>2006</v>
      </c>
      <c r="B62" s="21">
        <v>4.2786528906138948</v>
      </c>
      <c r="C62" s="21"/>
    </row>
    <row r="63" spans="1:3" ht="14.1" customHeight="1" x14ac:dyDescent="0.25">
      <c r="A63" s="13">
        <v>2007</v>
      </c>
      <c r="B63" s="20">
        <v>4.1991292652179411</v>
      </c>
      <c r="C63" s="20"/>
    </row>
    <row r="64" spans="1:3" ht="14.1" customHeight="1" x14ac:dyDescent="0.25">
      <c r="A64" s="1">
        <v>2008</v>
      </c>
      <c r="B64" s="21">
        <v>4.4634090156570121</v>
      </c>
      <c r="C64" s="21"/>
    </row>
    <row r="65" spans="1:3" ht="14.1" customHeight="1" x14ac:dyDescent="0.25">
      <c r="A65" s="13">
        <v>2009</v>
      </c>
      <c r="B65" s="20">
        <v>4.4891328032188476</v>
      </c>
      <c r="C65" s="20"/>
    </row>
    <row r="66" spans="1:3" ht="14.1" customHeight="1" x14ac:dyDescent="0.25">
      <c r="A66" s="1">
        <v>2010</v>
      </c>
      <c r="B66" s="21">
        <v>4.2205111527933701</v>
      </c>
      <c r="C66" s="21"/>
    </row>
    <row r="67" spans="1:3" ht="14.1" customHeight="1" x14ac:dyDescent="0.25">
      <c r="A67" s="13">
        <v>2011</v>
      </c>
      <c r="B67" s="20">
        <v>4.233226283006065</v>
      </c>
      <c r="C67" s="20"/>
    </row>
    <row r="68" spans="1:3" ht="14.1" customHeight="1" x14ac:dyDescent="0.25">
      <c r="A68" s="1">
        <v>2012</v>
      </c>
      <c r="B68" s="21">
        <v>4.1724773849882251</v>
      </c>
      <c r="C68" s="21"/>
    </row>
    <row r="69" spans="1:3" ht="14.1" customHeight="1" x14ac:dyDescent="0.25">
      <c r="A69" s="13">
        <v>2013</v>
      </c>
      <c r="B69" s="20">
        <v>4.2225597870767313</v>
      </c>
      <c r="C69" s="20"/>
    </row>
    <row r="70" spans="1:3" ht="14.1" customHeight="1" x14ac:dyDescent="0.25">
      <c r="A70" s="1">
        <v>2014</v>
      </c>
      <c r="B70" s="21">
        <v>4.1737642854389474</v>
      </c>
      <c r="C70" s="21"/>
    </row>
    <row r="71" spans="1:3" ht="14.1" customHeight="1" x14ac:dyDescent="0.25">
      <c r="A71" s="13">
        <v>2015</v>
      </c>
      <c r="B71" s="20">
        <v>4.1101292711522959</v>
      </c>
      <c r="C71" s="20"/>
    </row>
    <row r="72" spans="1:3" ht="14.1" customHeight="1" x14ac:dyDescent="0.25">
      <c r="A72" s="1">
        <v>2016</v>
      </c>
      <c r="B72" s="21">
        <v>4.2063260853488273</v>
      </c>
      <c r="C72" s="21"/>
    </row>
    <row r="73" spans="1:3" ht="14.1" customHeight="1" x14ac:dyDescent="0.25">
      <c r="A73" s="13">
        <v>2017</v>
      </c>
      <c r="B73" s="20">
        <v>4.2650496009665826</v>
      </c>
      <c r="C73" s="20"/>
    </row>
    <row r="74" spans="1:3" ht="14.1" customHeight="1" x14ac:dyDescent="0.25">
      <c r="A74" s="1">
        <v>2018</v>
      </c>
      <c r="B74" s="21">
        <v>4.3520263459942923</v>
      </c>
      <c r="C74" s="21"/>
    </row>
    <row r="75" spans="1:3" ht="14.1" customHeight="1" x14ac:dyDescent="0.25">
      <c r="A75" s="13">
        <v>2019</v>
      </c>
      <c r="B75" s="20">
        <v>4.3117088224452953</v>
      </c>
      <c r="C75" s="20"/>
    </row>
    <row r="76" spans="1:3" ht="14.1" customHeight="1" x14ac:dyDescent="0.25">
      <c r="A76" s="1">
        <v>2020</v>
      </c>
      <c r="B76" s="21">
        <v>4.1581647616488073</v>
      </c>
      <c r="C76" s="21"/>
    </row>
    <row r="77" spans="1:3" ht="14.1" customHeight="1" x14ac:dyDescent="0.25">
      <c r="A77" s="13">
        <v>2021</v>
      </c>
      <c r="B77" s="20">
        <v>4.0894606277543417</v>
      </c>
      <c r="C77" s="20"/>
    </row>
    <row r="78" spans="1:3" ht="14.1" customHeight="1" x14ac:dyDescent="0.25">
      <c r="A78" s="1">
        <v>2022</v>
      </c>
      <c r="B78" s="21">
        <v>4.1591172916157104</v>
      </c>
      <c r="C78" s="21"/>
    </row>
    <row r="79" spans="1:3" ht="14.1" customHeight="1" thickBot="1" x14ac:dyDescent="0.3">
      <c r="A79" s="16">
        <v>2023</v>
      </c>
      <c r="B79" s="22">
        <v>4.1854202354177064</v>
      </c>
      <c r="C79" s="22">
        <v>4.1854202354177064</v>
      </c>
    </row>
    <row r="80" spans="1:3" ht="14.1" customHeight="1" x14ac:dyDescent="0.25">
      <c r="A80" s="18">
        <v>2024</v>
      </c>
      <c r="B80" s="23"/>
      <c r="C80" s="23">
        <f>C79*(1+$F$1)</f>
        <v>4.2011882453485327</v>
      </c>
    </row>
    <row r="81" spans="1:3" ht="14.1" customHeight="1" x14ac:dyDescent="0.25">
      <c r="A81" s="18">
        <v>2025</v>
      </c>
      <c r="B81" s="23"/>
      <c r="C81" s="23">
        <f t="shared" ref="C81:C106" si="0">C80*(1+$F$1)</f>
        <v>4.2170156591440113</v>
      </c>
    </row>
    <row r="82" spans="1:3" ht="14.1" customHeight="1" x14ac:dyDescent="0.25">
      <c r="A82" s="18">
        <v>2026</v>
      </c>
      <c r="B82" s="23"/>
      <c r="C82" s="23">
        <f t="shared" si="0"/>
        <v>4.2329027006002429</v>
      </c>
    </row>
    <row r="83" spans="1:3" ht="14.1" customHeight="1" x14ac:dyDescent="0.25">
      <c r="A83" s="18">
        <v>2027</v>
      </c>
      <c r="B83" s="23"/>
      <c r="C83" s="23">
        <f t="shared" si="0"/>
        <v>4.2488495943564502</v>
      </c>
    </row>
    <row r="84" spans="1:3" ht="14.1" customHeight="1" x14ac:dyDescent="0.25">
      <c r="A84" s="18">
        <v>2028</v>
      </c>
      <c r="B84" s="23"/>
      <c r="C84" s="23">
        <f t="shared" si="0"/>
        <v>4.2648565658981532</v>
      </c>
    </row>
    <row r="85" spans="1:3" ht="14.1" customHeight="1" x14ac:dyDescent="0.25">
      <c r="A85" s="18">
        <v>2029</v>
      </c>
      <c r="B85" s="23"/>
      <c r="C85" s="23">
        <f t="shared" si="0"/>
        <v>4.2809238415603597</v>
      </c>
    </row>
    <row r="86" spans="1:3" ht="14.1" customHeight="1" x14ac:dyDescent="0.25">
      <c r="A86" s="18">
        <v>2030</v>
      </c>
      <c r="B86" s="23"/>
      <c r="C86" s="23">
        <f t="shared" si="0"/>
        <v>4.2970516485307622</v>
      </c>
    </row>
    <row r="87" spans="1:3" ht="14.1" customHeight="1" x14ac:dyDescent="0.25">
      <c r="A87" s="18">
        <v>2031</v>
      </c>
      <c r="B87" s="23"/>
      <c r="C87" s="23">
        <f t="shared" si="0"/>
        <v>4.3132402148529545</v>
      </c>
    </row>
    <row r="88" spans="1:3" ht="14.1" customHeight="1" x14ac:dyDescent="0.25">
      <c r="A88" s="18">
        <v>2032</v>
      </c>
      <c r="B88" s="23"/>
      <c r="C88" s="23">
        <f t="shared" si="0"/>
        <v>4.3294897694296539</v>
      </c>
    </row>
    <row r="89" spans="1:3" ht="14.1" customHeight="1" x14ac:dyDescent="0.25">
      <c r="A89" s="18">
        <v>2033</v>
      </c>
      <c r="B89" s="23"/>
      <c r="C89" s="23">
        <f t="shared" si="0"/>
        <v>4.3458005420259367</v>
      </c>
    </row>
    <row r="90" spans="1:3" ht="14.1" customHeight="1" x14ac:dyDescent="0.25">
      <c r="A90" s="18">
        <v>2034</v>
      </c>
      <c r="B90" s="23"/>
      <c r="C90" s="23">
        <f t="shared" si="0"/>
        <v>4.3621727632724889</v>
      </c>
    </row>
    <row r="91" spans="1:3" ht="14.1" customHeight="1" x14ac:dyDescent="0.25">
      <c r="A91" s="18">
        <v>2035</v>
      </c>
      <c r="B91" s="23"/>
      <c r="C91" s="23">
        <f t="shared" si="0"/>
        <v>4.3786066646688671</v>
      </c>
    </row>
    <row r="92" spans="1:3" ht="14.1" customHeight="1" x14ac:dyDescent="0.25">
      <c r="A92" s="18">
        <v>2036</v>
      </c>
      <c r="B92" s="23"/>
      <c r="C92" s="23">
        <f t="shared" si="0"/>
        <v>4.3951024785867707</v>
      </c>
    </row>
    <row r="93" spans="1:3" ht="14.1" customHeight="1" x14ac:dyDescent="0.25">
      <c r="A93" s="18">
        <v>2037</v>
      </c>
      <c r="B93" s="23"/>
      <c r="C93" s="23">
        <f t="shared" si="0"/>
        <v>4.41166043827333</v>
      </c>
    </row>
    <row r="94" spans="1:3" ht="14.1" customHeight="1" x14ac:dyDescent="0.25">
      <c r="A94" s="18">
        <v>2038</v>
      </c>
      <c r="B94" s="23"/>
      <c r="C94" s="23">
        <f t="shared" si="0"/>
        <v>4.4282807778544004</v>
      </c>
    </row>
    <row r="95" spans="1:3" ht="14.1" customHeight="1" x14ac:dyDescent="0.25">
      <c r="A95" s="18">
        <v>2039</v>
      </c>
      <c r="B95" s="23"/>
      <c r="C95" s="23">
        <f t="shared" si="0"/>
        <v>4.444963732337877</v>
      </c>
    </row>
    <row r="96" spans="1:3" ht="14.1" customHeight="1" x14ac:dyDescent="0.25">
      <c r="A96" s="18">
        <v>2040</v>
      </c>
      <c r="B96" s="23"/>
      <c r="C96" s="23">
        <f t="shared" si="0"/>
        <v>4.4617095376170139</v>
      </c>
    </row>
    <row r="97" spans="1:3" ht="14.1" customHeight="1" x14ac:dyDescent="0.25">
      <c r="A97" s="18">
        <v>2041</v>
      </c>
      <c r="B97" s="23"/>
      <c r="C97" s="23">
        <f t="shared" si="0"/>
        <v>4.4785184304737635</v>
      </c>
    </row>
    <row r="98" spans="1:3" ht="14.1" customHeight="1" x14ac:dyDescent="0.25">
      <c r="A98" s="18">
        <v>2042</v>
      </c>
      <c r="B98" s="23"/>
      <c r="C98" s="23">
        <f t="shared" si="0"/>
        <v>4.4953906485821209</v>
      </c>
    </row>
    <row r="99" spans="1:3" ht="14.1" customHeight="1" x14ac:dyDescent="0.25">
      <c r="A99" s="18">
        <v>2043</v>
      </c>
      <c r="B99" s="23"/>
      <c r="C99" s="23">
        <f t="shared" si="0"/>
        <v>4.5123264305114859</v>
      </c>
    </row>
    <row r="100" spans="1:3" ht="14.1" customHeight="1" x14ac:dyDescent="0.25">
      <c r="A100" s="18">
        <v>2044</v>
      </c>
      <c r="B100" s="23"/>
      <c r="C100" s="23">
        <f t="shared" si="0"/>
        <v>4.5293260157300379</v>
      </c>
    </row>
    <row r="101" spans="1:3" ht="14.1" customHeight="1" x14ac:dyDescent="0.25">
      <c r="A101" s="18">
        <v>2045</v>
      </c>
      <c r="B101" s="23"/>
      <c r="C101" s="23">
        <f t="shared" si="0"/>
        <v>4.5463896446081193</v>
      </c>
    </row>
    <row r="102" spans="1:3" ht="14.1" customHeight="1" x14ac:dyDescent="0.25">
      <c r="A102" s="18">
        <v>2046</v>
      </c>
      <c r="B102" s="23"/>
      <c r="C102" s="23">
        <f t="shared" si="0"/>
        <v>4.563517558421637</v>
      </c>
    </row>
    <row r="103" spans="1:3" ht="14.1" customHeight="1" x14ac:dyDescent="0.25">
      <c r="A103" s="18">
        <v>2047</v>
      </c>
      <c r="B103" s="23"/>
      <c r="C103" s="23">
        <f t="shared" si="0"/>
        <v>4.580709999355471</v>
      </c>
    </row>
    <row r="104" spans="1:3" ht="14.1" customHeight="1" x14ac:dyDescent="0.25">
      <c r="A104" s="18">
        <v>2048</v>
      </c>
      <c r="B104" s="23"/>
      <c r="C104" s="23">
        <f t="shared" si="0"/>
        <v>4.5979672105069014</v>
      </c>
    </row>
    <row r="105" spans="1:3" ht="14.1" customHeight="1" x14ac:dyDescent="0.25">
      <c r="A105" s="18">
        <v>2049</v>
      </c>
      <c r="B105" s="23"/>
      <c r="C105" s="23">
        <f t="shared" si="0"/>
        <v>4.6152894358890437</v>
      </c>
    </row>
    <row r="106" spans="1:3" ht="14.1" customHeight="1" x14ac:dyDescent="0.25">
      <c r="A106" s="18">
        <v>2050</v>
      </c>
      <c r="B106" s="23"/>
      <c r="C106" s="23">
        <f t="shared" si="0"/>
        <v>4.6326769204343021</v>
      </c>
    </row>
    <row r="108" spans="1:3" x14ac:dyDescent="0.25">
      <c r="A108" s="57" t="s">
        <v>45</v>
      </c>
      <c r="B108" s="49"/>
      <c r="C108" s="49"/>
    </row>
  </sheetData>
  <mergeCells count="5">
    <mergeCell ref="A3:C3"/>
    <mergeCell ref="A108:C108"/>
    <mergeCell ref="A1:C1"/>
    <mergeCell ref="A4:C4"/>
    <mergeCell ref="A2:C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8"/>
  <sheetViews>
    <sheetView showGridLines="0" zoomScale="80" workbookViewId="0">
      <selection activeCell="H17" sqref="H17"/>
    </sheetView>
  </sheetViews>
  <sheetFormatPr baseColWidth="10" defaultColWidth="21.85546875" defaultRowHeight="15" x14ac:dyDescent="0.25"/>
  <sheetData>
    <row r="1" spans="1:6" ht="27.95" customHeight="1" x14ac:dyDescent="0.25">
      <c r="A1" s="58" t="s">
        <v>54</v>
      </c>
      <c r="B1" s="49"/>
      <c r="C1" s="49"/>
      <c r="E1" s="32" t="s">
        <v>110</v>
      </c>
      <c r="F1" s="35">
        <f>LN(B79/B7)/72</f>
        <v>0</v>
      </c>
    </row>
    <row r="2" spans="1:6" ht="15.95" customHeight="1" x14ac:dyDescent="0.25">
      <c r="A2" s="61" t="s">
        <v>55</v>
      </c>
      <c r="B2" s="49"/>
      <c r="C2" s="49"/>
    </row>
    <row r="3" spans="1:6" ht="18" customHeight="1" x14ac:dyDescent="0.25">
      <c r="A3" s="60" t="s">
        <v>56</v>
      </c>
      <c r="B3" s="49"/>
      <c r="C3" s="49"/>
    </row>
    <row r="4" spans="1:6" ht="24" customHeight="1" x14ac:dyDescent="0.25">
      <c r="A4" s="59" t="s">
        <v>57</v>
      </c>
      <c r="B4" s="49"/>
      <c r="C4" s="49"/>
    </row>
    <row r="5" spans="1:6" ht="6" customHeight="1" x14ac:dyDescent="0.25">
      <c r="A5" t="s">
        <v>115</v>
      </c>
    </row>
    <row r="6" spans="1:6" ht="20.100000000000001" customHeight="1" x14ac:dyDescent="0.25">
      <c r="A6" s="12" t="s">
        <v>41</v>
      </c>
      <c r="B6" s="12" t="s">
        <v>58</v>
      </c>
      <c r="C6" s="12" t="s">
        <v>44</v>
      </c>
    </row>
    <row r="7" spans="1:6" ht="14.1" customHeight="1" x14ac:dyDescent="0.25">
      <c r="A7" s="13">
        <v>1951</v>
      </c>
      <c r="B7" s="24">
        <v>0.746274173259735</v>
      </c>
      <c r="C7" s="24"/>
    </row>
    <row r="8" spans="1:6" ht="14.1" customHeight="1" x14ac:dyDescent="0.25">
      <c r="A8" s="1">
        <v>1952</v>
      </c>
      <c r="B8" s="25">
        <v>0.746274173259735</v>
      </c>
      <c r="C8" s="25"/>
    </row>
    <row r="9" spans="1:6" ht="14.1" customHeight="1" x14ac:dyDescent="0.25">
      <c r="A9" s="13">
        <v>1953</v>
      </c>
      <c r="B9" s="24">
        <v>0.746274173259735</v>
      </c>
      <c r="C9" s="24"/>
    </row>
    <row r="10" spans="1:6" ht="14.1" customHeight="1" x14ac:dyDescent="0.25">
      <c r="A10" s="1">
        <v>1954</v>
      </c>
      <c r="B10" s="25">
        <v>0.746274173259735</v>
      </c>
      <c r="C10" s="25"/>
    </row>
    <row r="11" spans="1:6" ht="14.1" customHeight="1" x14ac:dyDescent="0.25">
      <c r="A11" s="13">
        <v>1955</v>
      </c>
      <c r="B11" s="24">
        <v>0.746274173259735</v>
      </c>
      <c r="C11" s="24"/>
    </row>
    <row r="12" spans="1:6" ht="14.1" customHeight="1" x14ac:dyDescent="0.25">
      <c r="A12" s="1">
        <v>1956</v>
      </c>
      <c r="B12" s="25">
        <v>0.746274173259735</v>
      </c>
      <c r="C12" s="25"/>
    </row>
    <row r="13" spans="1:6" ht="14.1" customHeight="1" x14ac:dyDescent="0.25">
      <c r="A13" s="13">
        <v>1957</v>
      </c>
      <c r="B13" s="24">
        <v>0.746274173259735</v>
      </c>
      <c r="C13" s="24"/>
    </row>
    <row r="14" spans="1:6" ht="14.1" customHeight="1" x14ac:dyDescent="0.25">
      <c r="A14" s="1">
        <v>1958</v>
      </c>
      <c r="B14" s="25">
        <v>0.746274173259735</v>
      </c>
      <c r="C14" s="25"/>
    </row>
    <row r="15" spans="1:6" ht="14.1" customHeight="1" x14ac:dyDescent="0.25">
      <c r="A15" s="13">
        <v>1959</v>
      </c>
      <c r="B15" s="24">
        <v>0.746274173259735</v>
      </c>
      <c r="C15" s="24"/>
    </row>
    <row r="16" spans="1:6" ht="14.1" customHeight="1" x14ac:dyDescent="0.25">
      <c r="A16" s="1">
        <v>1960</v>
      </c>
      <c r="B16" s="25">
        <v>0.746274173259735</v>
      </c>
      <c r="C16" s="25"/>
    </row>
    <row r="17" spans="1:3" ht="14.1" customHeight="1" x14ac:dyDescent="0.25">
      <c r="A17" s="13">
        <v>1961</v>
      </c>
      <c r="B17" s="24">
        <v>0.746274173259735</v>
      </c>
      <c r="C17" s="24"/>
    </row>
    <row r="18" spans="1:3" ht="14.1" customHeight="1" x14ac:dyDescent="0.25">
      <c r="A18" s="1">
        <v>1962</v>
      </c>
      <c r="B18" s="25">
        <v>0.746274173259735</v>
      </c>
      <c r="C18" s="25"/>
    </row>
    <row r="19" spans="1:3" ht="14.1" customHeight="1" x14ac:dyDescent="0.25">
      <c r="A19" s="13">
        <v>1963</v>
      </c>
      <c r="B19" s="24">
        <v>0.746274173259735</v>
      </c>
      <c r="C19" s="24"/>
    </row>
    <row r="20" spans="1:3" ht="14.1" customHeight="1" x14ac:dyDescent="0.25">
      <c r="A20" s="1">
        <v>1964</v>
      </c>
      <c r="B20" s="25">
        <v>0.746274173259735</v>
      </c>
      <c r="C20" s="25"/>
    </row>
    <row r="21" spans="1:3" ht="14.1" customHeight="1" x14ac:dyDescent="0.25">
      <c r="A21" s="13">
        <v>1965</v>
      </c>
      <c r="B21" s="24">
        <v>0.746274173259735</v>
      </c>
      <c r="C21" s="24"/>
    </row>
    <row r="22" spans="1:3" ht="14.1" customHeight="1" x14ac:dyDescent="0.25">
      <c r="A22" s="1">
        <v>1966</v>
      </c>
      <c r="B22" s="25">
        <v>0.746274173259735</v>
      </c>
      <c r="C22" s="25"/>
    </row>
    <row r="23" spans="1:3" ht="14.1" customHeight="1" x14ac:dyDescent="0.25">
      <c r="A23" s="13">
        <v>1967</v>
      </c>
      <c r="B23" s="24">
        <v>0.746274173259735</v>
      </c>
      <c r="C23" s="24"/>
    </row>
    <row r="24" spans="1:3" ht="14.1" customHeight="1" x14ac:dyDescent="0.25">
      <c r="A24" s="1">
        <v>1968</v>
      </c>
      <c r="B24" s="25">
        <v>0.746274173259735</v>
      </c>
      <c r="C24" s="25"/>
    </row>
    <row r="25" spans="1:3" ht="14.1" customHeight="1" x14ac:dyDescent="0.25">
      <c r="A25" s="13">
        <v>1969</v>
      </c>
      <c r="B25" s="24">
        <v>0.746274173259735</v>
      </c>
      <c r="C25" s="24"/>
    </row>
    <row r="26" spans="1:3" ht="14.1" customHeight="1" x14ac:dyDescent="0.25">
      <c r="A26" s="1">
        <v>1970</v>
      </c>
      <c r="B26" s="25">
        <v>0.746274173259735</v>
      </c>
      <c r="C26" s="25"/>
    </row>
    <row r="27" spans="1:3" ht="14.1" customHeight="1" x14ac:dyDescent="0.25">
      <c r="A27" s="13">
        <v>1971</v>
      </c>
      <c r="B27" s="24">
        <v>0.746274173259735</v>
      </c>
      <c r="C27" s="24"/>
    </row>
    <row r="28" spans="1:3" ht="14.1" customHeight="1" x14ac:dyDescent="0.25">
      <c r="A28" s="1">
        <v>1972</v>
      </c>
      <c r="B28" s="25">
        <v>0.746274173259735</v>
      </c>
      <c r="C28" s="25"/>
    </row>
    <row r="29" spans="1:3" ht="14.1" customHeight="1" x14ac:dyDescent="0.25">
      <c r="A29" s="13">
        <v>1973</v>
      </c>
      <c r="B29" s="24">
        <v>0.746274173259735</v>
      </c>
      <c r="C29" s="24"/>
    </row>
    <row r="30" spans="1:3" ht="14.1" customHeight="1" x14ac:dyDescent="0.25">
      <c r="A30" s="1">
        <v>1974</v>
      </c>
      <c r="B30" s="25">
        <v>0.746274173259735</v>
      </c>
      <c r="C30" s="25"/>
    </row>
    <row r="31" spans="1:3" ht="14.1" customHeight="1" x14ac:dyDescent="0.25">
      <c r="A31" s="13">
        <v>1975</v>
      </c>
      <c r="B31" s="24">
        <v>0.746274173259735</v>
      </c>
      <c r="C31" s="24"/>
    </row>
    <row r="32" spans="1:3" ht="14.1" customHeight="1" x14ac:dyDescent="0.25">
      <c r="A32" s="1">
        <v>1976</v>
      </c>
      <c r="B32" s="25">
        <v>0.746274173259735</v>
      </c>
      <c r="C32" s="25"/>
    </row>
    <row r="33" spans="1:3" ht="14.1" customHeight="1" x14ac:dyDescent="0.25">
      <c r="A33" s="13">
        <v>1977</v>
      </c>
      <c r="B33" s="24">
        <v>0.746274173259735</v>
      </c>
      <c r="C33" s="24"/>
    </row>
    <row r="34" spans="1:3" ht="14.1" customHeight="1" x14ac:dyDescent="0.25">
      <c r="A34" s="1">
        <v>1978</v>
      </c>
      <c r="B34" s="25">
        <v>0.746274173259735</v>
      </c>
      <c r="C34" s="25"/>
    </row>
    <row r="35" spans="1:3" ht="14.1" customHeight="1" x14ac:dyDescent="0.25">
      <c r="A35" s="13">
        <v>1979</v>
      </c>
      <c r="B35" s="24">
        <v>0.746274173259735</v>
      </c>
      <c r="C35" s="24"/>
    </row>
    <row r="36" spans="1:3" ht="14.1" customHeight="1" x14ac:dyDescent="0.25">
      <c r="A36" s="1">
        <v>1980</v>
      </c>
      <c r="B36" s="25">
        <v>0.746274173259735</v>
      </c>
      <c r="C36" s="25"/>
    </row>
    <row r="37" spans="1:3" ht="14.1" customHeight="1" x14ac:dyDescent="0.25">
      <c r="A37" s="13">
        <v>1981</v>
      </c>
      <c r="B37" s="24">
        <v>0.746274173259735</v>
      </c>
      <c r="C37" s="24"/>
    </row>
    <row r="38" spans="1:3" ht="14.1" customHeight="1" x14ac:dyDescent="0.25">
      <c r="A38" s="1">
        <v>1982</v>
      </c>
      <c r="B38" s="25">
        <v>0.746274173259735</v>
      </c>
      <c r="C38" s="25"/>
    </row>
    <row r="39" spans="1:3" ht="14.1" customHeight="1" x14ac:dyDescent="0.25">
      <c r="A39" s="13">
        <v>1983</v>
      </c>
      <c r="B39" s="24">
        <v>0.746274173259735</v>
      </c>
      <c r="C39" s="24"/>
    </row>
    <row r="40" spans="1:3" ht="14.1" customHeight="1" x14ac:dyDescent="0.25">
      <c r="A40" s="1">
        <v>1984</v>
      </c>
      <c r="B40" s="25">
        <v>0.746274173259735</v>
      </c>
      <c r="C40" s="25"/>
    </row>
    <row r="41" spans="1:3" ht="14.1" customHeight="1" x14ac:dyDescent="0.25">
      <c r="A41" s="13">
        <v>1985</v>
      </c>
      <c r="B41" s="24">
        <v>0.746274173259735</v>
      </c>
      <c r="C41" s="24"/>
    </row>
    <row r="42" spans="1:3" ht="14.1" customHeight="1" x14ac:dyDescent="0.25">
      <c r="A42" s="1">
        <v>1986</v>
      </c>
      <c r="B42" s="25">
        <v>0.746274173259735</v>
      </c>
      <c r="C42" s="25"/>
    </row>
    <row r="43" spans="1:3" ht="14.1" customHeight="1" x14ac:dyDescent="0.25">
      <c r="A43" s="13">
        <v>1987</v>
      </c>
      <c r="B43" s="24">
        <v>0.746274173259735</v>
      </c>
      <c r="C43" s="24"/>
    </row>
    <row r="44" spans="1:3" ht="14.1" customHeight="1" x14ac:dyDescent="0.25">
      <c r="A44" s="1">
        <v>1988</v>
      </c>
      <c r="B44" s="25">
        <v>0.746274173259735</v>
      </c>
      <c r="C44" s="25"/>
    </row>
    <row r="45" spans="1:3" ht="14.1" customHeight="1" x14ac:dyDescent="0.25">
      <c r="A45" s="13">
        <v>1989</v>
      </c>
      <c r="B45" s="24">
        <v>0.746274173259735</v>
      </c>
      <c r="C45" s="24"/>
    </row>
    <row r="46" spans="1:3" ht="14.1" customHeight="1" x14ac:dyDescent="0.25">
      <c r="A46" s="1">
        <v>1990</v>
      </c>
      <c r="B46" s="25">
        <v>0.746274173259735</v>
      </c>
      <c r="C46" s="25"/>
    </row>
    <row r="47" spans="1:3" ht="14.1" customHeight="1" x14ac:dyDescent="0.25">
      <c r="A47" s="13">
        <v>1991</v>
      </c>
      <c r="B47" s="24">
        <v>0.746274173259735</v>
      </c>
      <c r="C47" s="24"/>
    </row>
    <row r="48" spans="1:3" ht="14.1" customHeight="1" x14ac:dyDescent="0.25">
      <c r="A48" s="1">
        <v>1992</v>
      </c>
      <c r="B48" s="25">
        <v>0.746274173259735</v>
      </c>
      <c r="C48" s="25"/>
    </row>
    <row r="49" spans="1:3" ht="14.1" customHeight="1" x14ac:dyDescent="0.25">
      <c r="A49" s="13">
        <v>1993</v>
      </c>
      <c r="B49" s="24">
        <v>0.746274173259735</v>
      </c>
      <c r="C49" s="24"/>
    </row>
    <row r="50" spans="1:3" ht="14.1" customHeight="1" x14ac:dyDescent="0.25">
      <c r="A50" s="1">
        <v>1994</v>
      </c>
      <c r="B50" s="25">
        <v>0.746274173259735</v>
      </c>
      <c r="C50" s="25"/>
    </row>
    <row r="51" spans="1:3" ht="14.1" customHeight="1" x14ac:dyDescent="0.25">
      <c r="A51" s="13">
        <v>1995</v>
      </c>
      <c r="B51" s="24">
        <v>0.746274173259735</v>
      </c>
      <c r="C51" s="24"/>
    </row>
    <row r="52" spans="1:3" ht="14.1" customHeight="1" x14ac:dyDescent="0.25">
      <c r="A52" s="1">
        <v>1996</v>
      </c>
      <c r="B52" s="25">
        <v>0.746274173259735</v>
      </c>
      <c r="C52" s="25"/>
    </row>
    <row r="53" spans="1:3" ht="14.1" customHeight="1" x14ac:dyDescent="0.25">
      <c r="A53" s="13">
        <v>1997</v>
      </c>
      <c r="B53" s="24">
        <v>0.746274173259735</v>
      </c>
      <c r="C53" s="24"/>
    </row>
    <row r="54" spans="1:3" ht="14.1" customHeight="1" x14ac:dyDescent="0.25">
      <c r="A54" s="1">
        <v>1998</v>
      </c>
      <c r="B54" s="25">
        <v>0.746274173259735</v>
      </c>
      <c r="C54" s="25"/>
    </row>
    <row r="55" spans="1:3" ht="14.1" customHeight="1" x14ac:dyDescent="0.25">
      <c r="A55" s="13">
        <v>1999</v>
      </c>
      <c r="B55" s="24">
        <v>0.746274173259735</v>
      </c>
      <c r="C55" s="24"/>
    </row>
    <row r="56" spans="1:3" ht="14.1" customHeight="1" x14ac:dyDescent="0.25">
      <c r="A56" s="1">
        <v>2000</v>
      </c>
      <c r="B56" s="25">
        <v>0.746274173259735</v>
      </c>
      <c r="C56" s="25"/>
    </row>
    <row r="57" spans="1:3" ht="14.1" customHeight="1" x14ac:dyDescent="0.25">
      <c r="A57" s="13">
        <v>2001</v>
      </c>
      <c r="B57" s="24">
        <v>0.746274173259735</v>
      </c>
      <c r="C57" s="24"/>
    </row>
    <row r="58" spans="1:3" ht="14.1" customHeight="1" x14ac:dyDescent="0.25">
      <c r="A58" s="1">
        <v>2002</v>
      </c>
      <c r="B58" s="25">
        <v>0.746274173259735</v>
      </c>
      <c r="C58" s="25"/>
    </row>
    <row r="59" spans="1:3" ht="14.1" customHeight="1" x14ac:dyDescent="0.25">
      <c r="A59" s="13">
        <v>2003</v>
      </c>
      <c r="B59" s="24">
        <v>0.746274173259735</v>
      </c>
      <c r="C59" s="24"/>
    </row>
    <row r="60" spans="1:3" ht="14.1" customHeight="1" x14ac:dyDescent="0.25">
      <c r="A60" s="1">
        <v>2004</v>
      </c>
      <c r="B60" s="25">
        <v>0.746274173259735</v>
      </c>
      <c r="C60" s="25"/>
    </row>
    <row r="61" spans="1:3" ht="14.1" customHeight="1" x14ac:dyDescent="0.25">
      <c r="A61" s="13">
        <v>2005</v>
      </c>
      <c r="B61" s="24">
        <v>0.746274173259735</v>
      </c>
      <c r="C61" s="24"/>
    </row>
    <row r="62" spans="1:3" ht="14.1" customHeight="1" x14ac:dyDescent="0.25">
      <c r="A62" s="1">
        <v>2006</v>
      </c>
      <c r="B62" s="25">
        <v>0.746274173259735</v>
      </c>
      <c r="C62" s="25"/>
    </row>
    <row r="63" spans="1:3" ht="14.1" customHeight="1" x14ac:dyDescent="0.25">
      <c r="A63" s="13">
        <v>2007</v>
      </c>
      <c r="B63" s="24">
        <v>0.746274173259735</v>
      </c>
      <c r="C63" s="24"/>
    </row>
    <row r="64" spans="1:3" ht="14.1" customHeight="1" x14ac:dyDescent="0.25">
      <c r="A64" s="1">
        <v>2008</v>
      </c>
      <c r="B64" s="25">
        <v>0.746274173259735</v>
      </c>
      <c r="C64" s="25"/>
    </row>
    <row r="65" spans="1:3" ht="14.1" customHeight="1" x14ac:dyDescent="0.25">
      <c r="A65" s="13">
        <v>2009</v>
      </c>
      <c r="B65" s="24">
        <v>0.746274173259735</v>
      </c>
      <c r="C65" s="24"/>
    </row>
    <row r="66" spans="1:3" ht="14.1" customHeight="1" x14ac:dyDescent="0.25">
      <c r="A66" s="1">
        <v>2010</v>
      </c>
      <c r="B66" s="25">
        <v>0.746274173259735</v>
      </c>
      <c r="C66" s="25"/>
    </row>
    <row r="67" spans="1:3" ht="14.1" customHeight="1" x14ac:dyDescent="0.25">
      <c r="A67" s="13">
        <v>2011</v>
      </c>
      <c r="B67" s="24">
        <v>0.746274173259735</v>
      </c>
      <c r="C67" s="24"/>
    </row>
    <row r="68" spans="1:3" ht="14.1" customHeight="1" x14ac:dyDescent="0.25">
      <c r="A68" s="1">
        <v>2012</v>
      </c>
      <c r="B68" s="25">
        <v>0.746274173259735</v>
      </c>
      <c r="C68" s="25"/>
    </row>
    <row r="69" spans="1:3" ht="14.1" customHeight="1" x14ac:dyDescent="0.25">
      <c r="A69" s="13">
        <v>2013</v>
      </c>
      <c r="B69" s="24">
        <v>0.746274173259735</v>
      </c>
      <c r="C69" s="24"/>
    </row>
    <row r="70" spans="1:3" ht="14.1" customHeight="1" x14ac:dyDescent="0.25">
      <c r="A70" s="1">
        <v>2014</v>
      </c>
      <c r="B70" s="25">
        <v>0.746274173259735</v>
      </c>
      <c r="C70" s="25"/>
    </row>
    <row r="71" spans="1:3" ht="14.1" customHeight="1" x14ac:dyDescent="0.25">
      <c r="A71" s="13">
        <v>2015</v>
      </c>
      <c r="B71" s="24">
        <v>0.746274173259735</v>
      </c>
      <c r="C71" s="24"/>
    </row>
    <row r="72" spans="1:3" ht="14.1" customHeight="1" x14ac:dyDescent="0.25">
      <c r="A72" s="1">
        <v>2016</v>
      </c>
      <c r="B72" s="25">
        <v>0.746274173259735</v>
      </c>
      <c r="C72" s="25"/>
    </row>
    <row r="73" spans="1:3" ht="14.1" customHeight="1" x14ac:dyDescent="0.25">
      <c r="A73" s="13">
        <v>2017</v>
      </c>
      <c r="B73" s="24">
        <v>0.746274173259735</v>
      </c>
      <c r="C73" s="24"/>
    </row>
    <row r="74" spans="1:3" ht="14.1" customHeight="1" x14ac:dyDescent="0.25">
      <c r="A74" s="1">
        <v>2018</v>
      </c>
      <c r="B74" s="25">
        <v>0.746274173259735</v>
      </c>
      <c r="C74" s="25"/>
    </row>
    <row r="75" spans="1:3" ht="14.1" customHeight="1" x14ac:dyDescent="0.25">
      <c r="A75" s="13">
        <v>2019</v>
      </c>
      <c r="B75" s="24">
        <v>0.746274173259735</v>
      </c>
      <c r="C75" s="24"/>
    </row>
    <row r="76" spans="1:3" ht="14.1" customHeight="1" x14ac:dyDescent="0.25">
      <c r="A76" s="1">
        <v>2020</v>
      </c>
      <c r="B76" s="25">
        <v>0.746274173259735</v>
      </c>
      <c r="C76" s="25"/>
    </row>
    <row r="77" spans="1:3" ht="14.1" customHeight="1" x14ac:dyDescent="0.25">
      <c r="A77" s="13">
        <v>2021</v>
      </c>
      <c r="B77" s="24">
        <v>0.746274173259735</v>
      </c>
      <c r="C77" s="24"/>
    </row>
    <row r="78" spans="1:3" ht="14.1" customHeight="1" x14ac:dyDescent="0.25">
      <c r="A78" s="1">
        <v>2022</v>
      </c>
      <c r="B78" s="25">
        <v>0.746274173259735</v>
      </c>
      <c r="C78" s="25"/>
    </row>
    <row r="79" spans="1:3" ht="14.1" customHeight="1" thickBot="1" x14ac:dyDescent="0.3">
      <c r="A79" s="16">
        <v>2023</v>
      </c>
      <c r="B79" s="26">
        <v>0.746274173259735</v>
      </c>
      <c r="C79" s="26">
        <v>0.746274173259735</v>
      </c>
    </row>
    <row r="80" spans="1:3" ht="14.1" customHeight="1" x14ac:dyDescent="0.25">
      <c r="A80" s="18">
        <v>2024</v>
      </c>
      <c r="B80" s="27"/>
      <c r="C80" s="27">
        <v>0.746274173259735</v>
      </c>
    </row>
    <row r="81" spans="1:3" ht="14.1" customHeight="1" x14ac:dyDescent="0.25">
      <c r="A81" s="18">
        <v>2025</v>
      </c>
      <c r="B81" s="27"/>
      <c r="C81" s="27">
        <v>0.746274173259735</v>
      </c>
    </row>
    <row r="82" spans="1:3" ht="14.1" customHeight="1" x14ac:dyDescent="0.25">
      <c r="A82" s="18">
        <v>2026</v>
      </c>
      <c r="B82" s="27"/>
      <c r="C82" s="27">
        <v>0.746274173259735</v>
      </c>
    </row>
    <row r="83" spans="1:3" ht="14.1" customHeight="1" x14ac:dyDescent="0.25">
      <c r="A83" s="18">
        <v>2027</v>
      </c>
      <c r="B83" s="27"/>
      <c r="C83" s="27">
        <v>0.746274173259735</v>
      </c>
    </row>
    <row r="84" spans="1:3" ht="14.1" customHeight="1" x14ac:dyDescent="0.25">
      <c r="A84" s="18">
        <v>2028</v>
      </c>
      <c r="B84" s="27"/>
      <c r="C84" s="27">
        <v>0.746274173259735</v>
      </c>
    </row>
    <row r="85" spans="1:3" ht="14.1" customHeight="1" x14ac:dyDescent="0.25">
      <c r="A85" s="18">
        <v>2029</v>
      </c>
      <c r="B85" s="27"/>
      <c r="C85" s="27">
        <v>0.746274173259735</v>
      </c>
    </row>
    <row r="86" spans="1:3" ht="14.1" customHeight="1" x14ac:dyDescent="0.25">
      <c r="A86" s="18">
        <v>2030</v>
      </c>
      <c r="B86" s="27"/>
      <c r="C86" s="27">
        <v>0.746274173259735</v>
      </c>
    </row>
    <row r="87" spans="1:3" ht="14.1" customHeight="1" x14ac:dyDescent="0.25">
      <c r="A87" s="18">
        <v>2031</v>
      </c>
      <c r="B87" s="27"/>
      <c r="C87" s="27">
        <v>0.746274173259735</v>
      </c>
    </row>
    <row r="88" spans="1:3" ht="14.1" customHeight="1" x14ac:dyDescent="0.25">
      <c r="A88" s="18">
        <v>2032</v>
      </c>
      <c r="B88" s="27"/>
      <c r="C88" s="27">
        <v>0.746274173259735</v>
      </c>
    </row>
    <row r="89" spans="1:3" ht="14.1" customHeight="1" x14ac:dyDescent="0.25">
      <c r="A89" s="18">
        <v>2033</v>
      </c>
      <c r="B89" s="27"/>
      <c r="C89" s="27">
        <v>0.746274173259735</v>
      </c>
    </row>
    <row r="90" spans="1:3" ht="14.1" customHeight="1" x14ac:dyDescent="0.25">
      <c r="A90" s="18">
        <v>2034</v>
      </c>
      <c r="B90" s="27"/>
      <c r="C90" s="27">
        <v>0.746274173259735</v>
      </c>
    </row>
    <row r="91" spans="1:3" ht="14.1" customHeight="1" x14ac:dyDescent="0.25">
      <c r="A91" s="18">
        <v>2035</v>
      </c>
      <c r="B91" s="27"/>
      <c r="C91" s="27">
        <v>0.746274173259735</v>
      </c>
    </row>
    <row r="92" spans="1:3" ht="14.1" customHeight="1" x14ac:dyDescent="0.25">
      <c r="A92" s="18">
        <v>2036</v>
      </c>
      <c r="B92" s="27"/>
      <c r="C92" s="27">
        <v>0.746274173259735</v>
      </c>
    </row>
    <row r="93" spans="1:3" ht="14.1" customHeight="1" x14ac:dyDescent="0.25">
      <c r="A93" s="18">
        <v>2037</v>
      </c>
      <c r="B93" s="27"/>
      <c r="C93" s="27">
        <v>0.746274173259735</v>
      </c>
    </row>
    <row r="94" spans="1:3" ht="14.1" customHeight="1" x14ac:dyDescent="0.25">
      <c r="A94" s="18">
        <v>2038</v>
      </c>
      <c r="B94" s="27"/>
      <c r="C94" s="27">
        <v>0.746274173259735</v>
      </c>
    </row>
    <row r="95" spans="1:3" ht="14.1" customHeight="1" x14ac:dyDescent="0.25">
      <c r="A95" s="18">
        <v>2039</v>
      </c>
      <c r="B95" s="27"/>
      <c r="C95" s="27">
        <v>0.746274173259735</v>
      </c>
    </row>
    <row r="96" spans="1:3" ht="14.1" customHeight="1" x14ac:dyDescent="0.25">
      <c r="A96" s="18">
        <v>2040</v>
      </c>
      <c r="B96" s="27"/>
      <c r="C96" s="27">
        <v>0.746274173259735</v>
      </c>
    </row>
    <row r="97" spans="1:3" ht="14.1" customHeight="1" x14ac:dyDescent="0.25">
      <c r="A97" s="18">
        <v>2041</v>
      </c>
      <c r="B97" s="27"/>
      <c r="C97" s="27">
        <v>0.746274173259735</v>
      </c>
    </row>
    <row r="98" spans="1:3" ht="14.1" customHeight="1" x14ac:dyDescent="0.25">
      <c r="A98" s="18">
        <v>2042</v>
      </c>
      <c r="B98" s="27"/>
      <c r="C98" s="27">
        <v>0.746274173259735</v>
      </c>
    </row>
    <row r="99" spans="1:3" ht="14.1" customHeight="1" x14ac:dyDescent="0.25">
      <c r="A99" s="18">
        <v>2043</v>
      </c>
      <c r="B99" s="27"/>
      <c r="C99" s="27">
        <v>0.746274173259735</v>
      </c>
    </row>
    <row r="100" spans="1:3" ht="14.1" customHeight="1" x14ac:dyDescent="0.25">
      <c r="A100" s="18">
        <v>2044</v>
      </c>
      <c r="B100" s="27"/>
      <c r="C100" s="27">
        <v>0.746274173259735</v>
      </c>
    </row>
    <row r="101" spans="1:3" ht="14.1" customHeight="1" x14ac:dyDescent="0.25">
      <c r="A101" s="18">
        <v>2045</v>
      </c>
      <c r="B101" s="27"/>
      <c r="C101" s="27">
        <v>0.746274173259735</v>
      </c>
    </row>
    <row r="102" spans="1:3" ht="14.1" customHeight="1" x14ac:dyDescent="0.25">
      <c r="A102" s="18">
        <v>2046</v>
      </c>
      <c r="B102" s="27"/>
      <c r="C102" s="27">
        <v>0.746274173259735</v>
      </c>
    </row>
    <row r="103" spans="1:3" ht="14.1" customHeight="1" x14ac:dyDescent="0.25">
      <c r="A103" s="18">
        <v>2047</v>
      </c>
      <c r="B103" s="27"/>
      <c r="C103" s="27">
        <v>0.746274173259735</v>
      </c>
    </row>
    <row r="104" spans="1:3" ht="14.1" customHeight="1" x14ac:dyDescent="0.25">
      <c r="A104" s="18">
        <v>2048</v>
      </c>
      <c r="B104" s="27"/>
      <c r="C104" s="27">
        <v>0.746274173259735</v>
      </c>
    </row>
    <row r="105" spans="1:3" ht="14.1" customHeight="1" x14ac:dyDescent="0.25">
      <c r="A105" s="18">
        <v>2049</v>
      </c>
      <c r="B105" s="27"/>
      <c r="C105" s="27">
        <v>0.746274173259735</v>
      </c>
    </row>
    <row r="106" spans="1:3" ht="14.1" customHeight="1" x14ac:dyDescent="0.25">
      <c r="A106" s="18">
        <v>2050</v>
      </c>
      <c r="B106" s="27"/>
      <c r="C106" s="27">
        <v>0.746274173259735</v>
      </c>
    </row>
    <row r="108" spans="1:3" x14ac:dyDescent="0.25">
      <c r="A108" s="57" t="s">
        <v>45</v>
      </c>
      <c r="B108" s="49"/>
      <c r="C108" s="49"/>
    </row>
  </sheetData>
  <mergeCells count="5">
    <mergeCell ref="A3:C3"/>
    <mergeCell ref="A108:C108"/>
    <mergeCell ref="A1:C1"/>
    <mergeCell ref="A4:C4"/>
    <mergeCell ref="A2:C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8"/>
  <sheetViews>
    <sheetView showGridLines="0" workbookViewId="0">
      <selection activeCell="G21" sqref="G21"/>
    </sheetView>
  </sheetViews>
  <sheetFormatPr baseColWidth="10" defaultColWidth="19.7109375" defaultRowHeight="15" x14ac:dyDescent="0.25"/>
  <sheetData>
    <row r="1" spans="1:6" ht="27.95" customHeight="1" x14ac:dyDescent="0.25">
      <c r="A1" s="58" t="s">
        <v>59</v>
      </c>
      <c r="B1" s="49"/>
      <c r="C1" s="49"/>
      <c r="E1" s="32" t="s">
        <v>110</v>
      </c>
      <c r="F1" s="35">
        <f>LN(B79/B7)/72</f>
        <v>-3.7673660096052206E-3</v>
      </c>
    </row>
    <row r="2" spans="1:6" ht="15.95" customHeight="1" x14ac:dyDescent="0.25">
      <c r="A2" s="61" t="s">
        <v>60</v>
      </c>
      <c r="B2" s="49"/>
      <c r="C2" s="49"/>
    </row>
    <row r="3" spans="1:6" ht="18" customHeight="1" x14ac:dyDescent="0.25">
      <c r="A3" s="62" t="s">
        <v>116</v>
      </c>
      <c r="B3" s="49"/>
      <c r="C3" s="49"/>
    </row>
    <row r="4" spans="1:6" ht="24" customHeight="1" x14ac:dyDescent="0.25">
      <c r="A4" s="59" t="s">
        <v>61</v>
      </c>
      <c r="B4" s="49"/>
      <c r="C4" s="49"/>
    </row>
    <row r="5" spans="1:6" ht="6" customHeight="1" x14ac:dyDescent="0.25"/>
    <row r="6" spans="1:6" ht="20.100000000000001" customHeight="1" x14ac:dyDescent="0.25">
      <c r="A6" s="12" t="s">
        <v>41</v>
      </c>
      <c r="B6" s="12" t="s">
        <v>62</v>
      </c>
      <c r="C6" s="12" t="s">
        <v>44</v>
      </c>
    </row>
    <row r="7" spans="1:6" ht="14.1" customHeight="1" x14ac:dyDescent="0.25">
      <c r="A7" s="13">
        <v>1951</v>
      </c>
      <c r="B7" s="24">
        <v>7.9511168880537705E-2</v>
      </c>
      <c r="C7" s="24"/>
    </row>
    <row r="8" spans="1:6" ht="14.1" customHeight="1" x14ac:dyDescent="0.25">
      <c r="A8" s="1">
        <v>1952</v>
      </c>
      <c r="B8" s="25">
        <v>9.0247651688527594E-2</v>
      </c>
      <c r="C8" s="25"/>
    </row>
    <row r="9" spans="1:6" ht="14.1" customHeight="1" x14ac:dyDescent="0.25">
      <c r="A9" s="13">
        <v>1953</v>
      </c>
      <c r="B9" s="24">
        <v>9.4873965941595195E-2</v>
      </c>
      <c r="C9" s="24"/>
    </row>
    <row r="10" spans="1:6" ht="14.1" customHeight="1" x14ac:dyDescent="0.25">
      <c r="A10" s="1">
        <v>1954</v>
      </c>
      <c r="B10" s="25">
        <v>9.7360172871846104E-2</v>
      </c>
      <c r="C10" s="25"/>
    </row>
    <row r="11" spans="1:6" ht="14.1" customHeight="1" x14ac:dyDescent="0.25">
      <c r="A11" s="13">
        <v>1955</v>
      </c>
      <c r="B11" s="24">
        <v>0.10133851690897989</v>
      </c>
      <c r="C11" s="24"/>
    </row>
    <row r="12" spans="1:6" ht="14.1" customHeight="1" x14ac:dyDescent="0.25">
      <c r="A12" s="1">
        <v>1956</v>
      </c>
      <c r="B12" s="25">
        <v>0.1030993430434244</v>
      </c>
      <c r="C12" s="25"/>
    </row>
    <row r="13" spans="1:6" ht="14.1" customHeight="1" x14ac:dyDescent="0.25">
      <c r="A13" s="13">
        <v>1957</v>
      </c>
      <c r="B13" s="24">
        <v>0.1078007742826152</v>
      </c>
      <c r="C13" s="24"/>
    </row>
    <row r="14" spans="1:6" ht="14.1" customHeight="1" x14ac:dyDescent="0.25">
      <c r="A14" s="1">
        <v>1958</v>
      </c>
      <c r="B14" s="25">
        <v>0.1096979614147017</v>
      </c>
      <c r="C14" s="25"/>
    </row>
    <row r="15" spans="1:6" ht="14.1" customHeight="1" x14ac:dyDescent="0.25">
      <c r="A15" s="13">
        <v>1959</v>
      </c>
      <c r="B15" s="24">
        <v>0.1104724529237998</v>
      </c>
      <c r="C15" s="24"/>
    </row>
    <row r="16" spans="1:6" ht="14.1" customHeight="1" x14ac:dyDescent="0.25">
      <c r="A16" s="1">
        <v>1960</v>
      </c>
      <c r="B16" s="25">
        <v>0.11077430327078951</v>
      </c>
      <c r="C16" s="25"/>
    </row>
    <row r="17" spans="1:3" ht="14.1" customHeight="1" x14ac:dyDescent="0.25">
      <c r="A17" s="13">
        <v>1961</v>
      </c>
      <c r="B17" s="24">
        <v>0.1125976924050551</v>
      </c>
      <c r="C17" s="24"/>
    </row>
    <row r="18" spans="1:3" ht="14.1" customHeight="1" x14ac:dyDescent="0.25">
      <c r="A18" s="1">
        <v>1962</v>
      </c>
      <c r="B18" s="25">
        <v>0.114693255233522</v>
      </c>
      <c r="C18" s="25"/>
    </row>
    <row r="19" spans="1:3" ht="14.1" customHeight="1" x14ac:dyDescent="0.25">
      <c r="A19" s="13">
        <v>1963</v>
      </c>
      <c r="B19" s="24">
        <v>0.1197770040992121</v>
      </c>
      <c r="C19" s="24"/>
    </row>
    <row r="20" spans="1:3" ht="14.1" customHeight="1" x14ac:dyDescent="0.25">
      <c r="A20" s="1">
        <v>1964</v>
      </c>
      <c r="B20" s="25">
        <v>0.12687299784041919</v>
      </c>
      <c r="C20" s="25"/>
    </row>
    <row r="21" spans="1:3" ht="14.1" customHeight="1" x14ac:dyDescent="0.25">
      <c r="A21" s="13">
        <v>1965</v>
      </c>
      <c r="B21" s="24">
        <v>0.12598931964407309</v>
      </c>
      <c r="C21" s="24"/>
    </row>
    <row r="22" spans="1:3" ht="14.1" customHeight="1" x14ac:dyDescent="0.25">
      <c r="A22" s="1">
        <v>1966</v>
      </c>
      <c r="B22" s="25">
        <v>0.12313021119597831</v>
      </c>
      <c r="C22" s="25"/>
    </row>
    <row r="23" spans="1:3" ht="14.1" customHeight="1" x14ac:dyDescent="0.25">
      <c r="A23" s="13">
        <v>1967</v>
      </c>
      <c r="B23" s="24">
        <v>0.1218412247662688</v>
      </c>
      <c r="C23" s="24"/>
    </row>
    <row r="24" spans="1:3" ht="14.1" customHeight="1" x14ac:dyDescent="0.25">
      <c r="A24" s="1">
        <v>1968</v>
      </c>
      <c r="B24" s="25">
        <v>0.1185048832373202</v>
      </c>
      <c r="C24" s="25"/>
    </row>
    <row r="25" spans="1:3" ht="14.1" customHeight="1" x14ac:dyDescent="0.25">
      <c r="A25" s="13">
        <v>1969</v>
      </c>
      <c r="B25" s="24">
        <v>0.1162973292789045</v>
      </c>
      <c r="C25" s="24"/>
    </row>
    <row r="26" spans="1:3" ht="14.1" customHeight="1" x14ac:dyDescent="0.25">
      <c r="A26" s="1">
        <v>1970</v>
      </c>
      <c r="B26" s="25">
        <v>0.1161815262050966</v>
      </c>
      <c r="C26" s="25"/>
    </row>
    <row r="27" spans="1:3" ht="14.1" customHeight="1" x14ac:dyDescent="0.25">
      <c r="A27" s="13">
        <v>1971</v>
      </c>
      <c r="B27" s="24">
        <v>0.1150587645547889</v>
      </c>
      <c r="C27" s="24"/>
    </row>
    <row r="28" spans="1:3" ht="14.1" customHeight="1" x14ac:dyDescent="0.25">
      <c r="A28" s="1">
        <v>1972</v>
      </c>
      <c r="B28" s="25">
        <v>0.1150409312950358</v>
      </c>
      <c r="C28" s="25"/>
    </row>
    <row r="29" spans="1:3" ht="14.1" customHeight="1" x14ac:dyDescent="0.25">
      <c r="A29" s="13">
        <v>1973</v>
      </c>
      <c r="B29" s="24">
        <v>0.1130002060214999</v>
      </c>
      <c r="C29" s="24"/>
    </row>
    <row r="30" spans="1:3" ht="14.1" customHeight="1" x14ac:dyDescent="0.25">
      <c r="A30" s="1">
        <v>1974</v>
      </c>
      <c r="B30" s="25">
        <v>9.6475572048779504E-2</v>
      </c>
      <c r="C30" s="25"/>
    </row>
    <row r="31" spans="1:3" ht="14.1" customHeight="1" x14ac:dyDescent="0.25">
      <c r="A31" s="13">
        <v>1975</v>
      </c>
      <c r="B31" s="24">
        <v>8.6964205640446296E-2</v>
      </c>
      <c r="C31" s="24"/>
    </row>
    <row r="32" spans="1:3" ht="14.1" customHeight="1" x14ac:dyDescent="0.25">
      <c r="A32" s="1">
        <v>1976</v>
      </c>
      <c r="B32" s="25">
        <v>9.1708161930293894E-2</v>
      </c>
      <c r="C32" s="25"/>
    </row>
    <row r="33" spans="1:3" ht="14.1" customHeight="1" x14ac:dyDescent="0.25">
      <c r="A33" s="13">
        <v>1977</v>
      </c>
      <c r="B33" s="24">
        <v>9.0966211419485896E-2</v>
      </c>
      <c r="C33" s="24"/>
    </row>
    <row r="34" spans="1:3" ht="14.1" customHeight="1" x14ac:dyDescent="0.25">
      <c r="A34" s="1">
        <v>1978</v>
      </c>
      <c r="B34" s="25">
        <v>9.25786284755514E-2</v>
      </c>
      <c r="C34" s="25"/>
    </row>
    <row r="35" spans="1:3" ht="14.1" customHeight="1" x14ac:dyDescent="0.25">
      <c r="A35" s="13">
        <v>1979</v>
      </c>
      <c r="B35" s="24">
        <v>8.8970597578689706E-2</v>
      </c>
      <c r="C35" s="24"/>
    </row>
    <row r="36" spans="1:3" ht="14.1" customHeight="1" x14ac:dyDescent="0.25">
      <c r="A36" s="1">
        <v>1980</v>
      </c>
      <c r="B36" s="25">
        <v>8.3235333184281196E-2</v>
      </c>
      <c r="C36" s="25"/>
    </row>
    <row r="37" spans="1:3" ht="14.1" customHeight="1" x14ac:dyDescent="0.25">
      <c r="A37" s="13">
        <v>1981</v>
      </c>
      <c r="B37" s="24">
        <v>8.0238918302860396E-2</v>
      </c>
      <c r="C37" s="24"/>
    </row>
    <row r="38" spans="1:3" ht="14.1" customHeight="1" x14ac:dyDescent="0.25">
      <c r="A38" s="1">
        <v>1982</v>
      </c>
      <c r="B38" s="25">
        <v>7.7138298035922495E-2</v>
      </c>
      <c r="C38" s="25"/>
    </row>
    <row r="39" spans="1:3" ht="14.1" customHeight="1" x14ac:dyDescent="0.25">
      <c r="A39" s="13">
        <v>1983</v>
      </c>
      <c r="B39" s="24">
        <v>7.7760349354744601E-2</v>
      </c>
      <c r="C39" s="24"/>
    </row>
    <row r="40" spans="1:3" ht="14.1" customHeight="1" x14ac:dyDescent="0.25">
      <c r="A40" s="1">
        <v>1984</v>
      </c>
      <c r="B40" s="25">
        <v>7.8839007026696495E-2</v>
      </c>
      <c r="C40" s="25"/>
    </row>
    <row r="41" spans="1:3" ht="14.1" customHeight="1" x14ac:dyDescent="0.25">
      <c r="A41" s="13">
        <v>1985</v>
      </c>
      <c r="B41" s="24">
        <v>7.7676606675870105E-2</v>
      </c>
      <c r="C41" s="24"/>
    </row>
    <row r="42" spans="1:3" ht="14.1" customHeight="1" x14ac:dyDescent="0.25">
      <c r="A42" s="1">
        <v>1986</v>
      </c>
      <c r="B42" s="25">
        <v>8.2693726102037401E-2</v>
      </c>
      <c r="C42" s="25"/>
    </row>
    <row r="43" spans="1:3" ht="14.1" customHeight="1" x14ac:dyDescent="0.25">
      <c r="A43" s="13">
        <v>1987</v>
      </c>
      <c r="B43" s="24">
        <v>8.4338781120898196E-2</v>
      </c>
      <c r="C43" s="24"/>
    </row>
    <row r="44" spans="1:3" ht="14.1" customHeight="1" x14ac:dyDescent="0.25">
      <c r="A44" s="1">
        <v>1988</v>
      </c>
      <c r="B44" s="25">
        <v>8.1521862594158098E-2</v>
      </c>
      <c r="C44" s="25"/>
    </row>
    <row r="45" spans="1:3" ht="14.1" customHeight="1" x14ac:dyDescent="0.25">
      <c r="A45" s="13">
        <v>1989</v>
      </c>
      <c r="B45" s="24">
        <v>8.1019956224929995E-2</v>
      </c>
      <c r="C45" s="24"/>
    </row>
    <row r="46" spans="1:3" ht="14.1" customHeight="1" x14ac:dyDescent="0.25">
      <c r="A46" s="1">
        <v>1990</v>
      </c>
      <c r="B46" s="25">
        <v>7.81440964781102E-2</v>
      </c>
      <c r="C46" s="25"/>
    </row>
    <row r="47" spans="1:3" ht="14.1" customHeight="1" x14ac:dyDescent="0.25">
      <c r="A47" s="13">
        <v>1991</v>
      </c>
      <c r="B47" s="24">
        <v>7.73567931780373E-2</v>
      </c>
      <c r="C47" s="24"/>
    </row>
    <row r="48" spans="1:3" ht="14.1" customHeight="1" x14ac:dyDescent="0.25">
      <c r="A48" s="1">
        <v>1992</v>
      </c>
      <c r="B48" s="25">
        <v>7.5273940471288298E-2</v>
      </c>
      <c r="C48" s="25"/>
    </row>
    <row r="49" spans="1:3" ht="14.1" customHeight="1" x14ac:dyDescent="0.25">
      <c r="A49" s="13">
        <v>1993</v>
      </c>
      <c r="B49" s="24">
        <v>7.3225651219419804E-2</v>
      </c>
      <c r="C49" s="24"/>
    </row>
    <row r="50" spans="1:3" ht="14.1" customHeight="1" x14ac:dyDescent="0.25">
      <c r="A50" s="1">
        <v>1994</v>
      </c>
      <c r="B50" s="25">
        <v>7.1442987043476694E-2</v>
      </c>
      <c r="C50" s="25"/>
    </row>
    <row r="51" spans="1:3" ht="14.1" customHeight="1" x14ac:dyDescent="0.25">
      <c r="A51" s="13">
        <v>1995</v>
      </c>
      <c r="B51" s="24">
        <v>6.9187357603098201E-2</v>
      </c>
      <c r="C51" s="24"/>
    </row>
    <row r="52" spans="1:3" ht="14.1" customHeight="1" x14ac:dyDescent="0.25">
      <c r="A52" s="1">
        <v>1996</v>
      </c>
      <c r="B52" s="25">
        <v>6.8739940127476501E-2</v>
      </c>
      <c r="C52" s="25"/>
    </row>
    <row r="53" spans="1:3" ht="14.1" customHeight="1" x14ac:dyDescent="0.25">
      <c r="A53" s="13">
        <v>1997</v>
      </c>
      <c r="B53" s="24">
        <v>6.7799467214909204E-2</v>
      </c>
      <c r="C53" s="24"/>
    </row>
    <row r="54" spans="1:3" ht="14.1" customHeight="1" x14ac:dyDescent="0.25">
      <c r="A54" s="1">
        <v>1998</v>
      </c>
      <c r="B54" s="25">
        <v>6.6362422707625102E-2</v>
      </c>
      <c r="C54" s="25"/>
    </row>
    <row r="55" spans="1:3" ht="14.1" customHeight="1" x14ac:dyDescent="0.25">
      <c r="A55" s="13">
        <v>1999</v>
      </c>
      <c r="B55" s="24">
        <v>6.4539735227503697E-2</v>
      </c>
      <c r="C55" s="24"/>
    </row>
    <row r="56" spans="1:3" ht="14.1" customHeight="1" x14ac:dyDescent="0.25">
      <c r="A56" s="1">
        <v>2000</v>
      </c>
      <c r="B56" s="25">
        <v>6.2907920697813896E-2</v>
      </c>
      <c r="C56" s="25"/>
    </row>
    <row r="57" spans="1:3" ht="14.1" customHeight="1" x14ac:dyDescent="0.25">
      <c r="A57" s="13">
        <v>2001</v>
      </c>
      <c r="B57" s="24">
        <v>5.9757769233810799E-2</v>
      </c>
      <c r="C57" s="24"/>
    </row>
    <row r="58" spans="1:3" ht="14.1" customHeight="1" x14ac:dyDescent="0.25">
      <c r="A58" s="1">
        <v>2002</v>
      </c>
      <c r="B58" s="25">
        <v>6.0400927327803999E-2</v>
      </c>
      <c r="C58" s="25"/>
    </row>
    <row r="59" spans="1:3" ht="14.1" customHeight="1" x14ac:dyDescent="0.25">
      <c r="A59" s="13">
        <v>2003</v>
      </c>
      <c r="B59" s="24">
        <v>5.9828605696277702E-2</v>
      </c>
      <c r="C59" s="24"/>
    </row>
    <row r="60" spans="1:3" ht="14.1" customHeight="1" x14ac:dyDescent="0.25">
      <c r="A60" s="1">
        <v>2004</v>
      </c>
      <c r="B60" s="25">
        <v>5.9570975471200598E-2</v>
      </c>
      <c r="C60" s="25"/>
    </row>
    <row r="61" spans="1:3" ht="14.1" customHeight="1" x14ac:dyDescent="0.25">
      <c r="A61" s="13">
        <v>2005</v>
      </c>
      <c r="B61" s="24">
        <v>5.9235476886641499E-2</v>
      </c>
      <c r="C61" s="24"/>
    </row>
    <row r="62" spans="1:3" ht="14.1" customHeight="1" x14ac:dyDescent="0.25">
      <c r="A62" s="1">
        <v>2006</v>
      </c>
      <c r="B62" s="25">
        <v>5.9300399734894302E-2</v>
      </c>
      <c r="C62" s="25"/>
    </row>
    <row r="63" spans="1:3" ht="14.1" customHeight="1" x14ac:dyDescent="0.25">
      <c r="A63" s="13">
        <v>2007</v>
      </c>
      <c r="B63" s="24">
        <v>6.04234379831829E-2</v>
      </c>
      <c r="C63" s="24"/>
    </row>
    <row r="64" spans="1:3" ht="14.1" customHeight="1" x14ac:dyDescent="0.25">
      <c r="A64" s="1">
        <v>2008</v>
      </c>
      <c r="B64" s="25">
        <v>5.6845748585941901E-2</v>
      </c>
      <c r="C64" s="25"/>
    </row>
    <row r="65" spans="1:3" ht="14.1" customHeight="1" x14ac:dyDescent="0.25">
      <c r="A65" s="13">
        <v>2009</v>
      </c>
      <c r="B65" s="24">
        <v>5.6520009066859299E-2</v>
      </c>
      <c r="C65" s="24"/>
    </row>
    <row r="66" spans="1:3" ht="14.1" customHeight="1" x14ac:dyDescent="0.25">
      <c r="A66" s="1">
        <v>2010</v>
      </c>
      <c r="B66" s="25">
        <v>6.0117321706953601E-2</v>
      </c>
      <c r="C66" s="25"/>
    </row>
    <row r="67" spans="1:3" ht="14.1" customHeight="1" x14ac:dyDescent="0.25">
      <c r="A67" s="13">
        <v>2011</v>
      </c>
      <c r="B67" s="24">
        <v>5.9936750312362501E-2</v>
      </c>
      <c r="C67" s="24"/>
    </row>
    <row r="68" spans="1:3" ht="14.1" customHeight="1" x14ac:dyDescent="0.25">
      <c r="A68" s="1">
        <v>2012</v>
      </c>
      <c r="B68" s="25">
        <v>6.0809395313470502E-2</v>
      </c>
      <c r="C68" s="25"/>
    </row>
    <row r="69" spans="1:3" ht="14.1" customHeight="1" x14ac:dyDescent="0.25">
      <c r="A69" s="13">
        <v>2013</v>
      </c>
      <c r="B69" s="24">
        <v>6.0088154942601398E-2</v>
      </c>
      <c r="C69" s="24"/>
    </row>
    <row r="70" spans="1:3" ht="14.1" customHeight="1" x14ac:dyDescent="0.25">
      <c r="A70" s="1">
        <v>2014</v>
      </c>
      <c r="B70" s="25">
        <v>6.0790645898581401E-2</v>
      </c>
      <c r="C70" s="25"/>
    </row>
    <row r="71" spans="1:3" ht="14.1" customHeight="1" x14ac:dyDescent="0.25">
      <c r="A71" s="13">
        <v>2015</v>
      </c>
      <c r="B71" s="24">
        <v>6.1731836154421398E-2</v>
      </c>
      <c r="C71" s="24"/>
    </row>
    <row r="72" spans="1:3" ht="14.1" customHeight="1" x14ac:dyDescent="0.25">
      <c r="A72" s="1">
        <v>2016</v>
      </c>
      <c r="B72" s="25">
        <v>6.0320056408375997E-2</v>
      </c>
      <c r="C72" s="25"/>
    </row>
    <row r="73" spans="1:3" ht="14.1" customHeight="1" x14ac:dyDescent="0.25">
      <c r="A73" s="13">
        <v>2017</v>
      </c>
      <c r="B73" s="24">
        <v>5.9489537163357503E-2</v>
      </c>
      <c r="C73" s="24"/>
    </row>
    <row r="74" spans="1:3" ht="14.1" customHeight="1" x14ac:dyDescent="0.25">
      <c r="A74" s="1">
        <v>2018</v>
      </c>
      <c r="B74" s="25">
        <v>5.83006182795286E-2</v>
      </c>
      <c r="C74" s="25"/>
    </row>
    <row r="75" spans="1:3" ht="14.1" customHeight="1" x14ac:dyDescent="0.25">
      <c r="A75" s="13">
        <v>2019</v>
      </c>
      <c r="B75" s="24">
        <v>5.8845770247622997E-2</v>
      </c>
      <c r="C75" s="24"/>
    </row>
    <row r="76" spans="1:3" ht="14.1" customHeight="1" x14ac:dyDescent="0.25">
      <c r="A76" s="1">
        <v>2020</v>
      </c>
      <c r="B76" s="25">
        <v>6.1018704472801298E-2</v>
      </c>
      <c r="C76" s="25"/>
    </row>
    <row r="77" spans="1:3" ht="14.1" customHeight="1" x14ac:dyDescent="0.25">
      <c r="A77" s="13">
        <v>2021</v>
      </c>
      <c r="B77" s="24">
        <v>6.2043836543694497E-2</v>
      </c>
      <c r="C77" s="24"/>
    </row>
    <row r="78" spans="1:3" ht="14.1" customHeight="1" x14ac:dyDescent="0.25">
      <c r="A78" s="1">
        <v>2022</v>
      </c>
      <c r="B78" s="25">
        <v>6.1004729838166898E-2</v>
      </c>
      <c r="C78" s="25"/>
    </row>
    <row r="79" spans="1:3" ht="14.1" customHeight="1" thickBot="1" x14ac:dyDescent="0.3">
      <c r="A79" s="16">
        <v>2023</v>
      </c>
      <c r="B79" s="26">
        <v>6.0621350418578197E-2</v>
      </c>
      <c r="C79" s="26">
        <v>6.0621350418578197E-2</v>
      </c>
    </row>
    <row r="80" spans="1:3" ht="14.1" customHeight="1" x14ac:dyDescent="0.25">
      <c r="A80" s="18">
        <v>2024</v>
      </c>
      <c r="B80" s="27"/>
      <c r="C80" s="27">
        <f>C79+(1*$F$1)</f>
        <v>5.6853984408972977E-2</v>
      </c>
    </row>
    <row r="81" spans="1:3" ht="14.1" customHeight="1" x14ac:dyDescent="0.25">
      <c r="A81" s="18">
        <v>2025</v>
      </c>
      <c r="B81" s="27"/>
      <c r="C81" s="27">
        <f t="shared" ref="C81:C106" si="0">C80+(1*$F$1)</f>
        <v>5.3086618399367756E-2</v>
      </c>
    </row>
    <row r="82" spans="1:3" ht="14.1" customHeight="1" x14ac:dyDescent="0.25">
      <c r="A82" s="18">
        <v>2026</v>
      </c>
      <c r="B82" s="27"/>
      <c r="C82" s="27">
        <f t="shared" si="0"/>
        <v>4.9319252389762536E-2</v>
      </c>
    </row>
    <row r="83" spans="1:3" ht="14.1" customHeight="1" x14ac:dyDescent="0.25">
      <c r="A83" s="18">
        <v>2027</v>
      </c>
      <c r="B83" s="27"/>
      <c r="C83" s="27">
        <f t="shared" si="0"/>
        <v>4.5551886380157315E-2</v>
      </c>
    </row>
    <row r="84" spans="1:3" ht="14.1" customHeight="1" x14ac:dyDescent="0.25">
      <c r="A84" s="18">
        <v>2028</v>
      </c>
      <c r="B84" s="27"/>
      <c r="C84" s="27">
        <f t="shared" si="0"/>
        <v>4.1784520370552095E-2</v>
      </c>
    </row>
    <row r="85" spans="1:3" ht="14.1" customHeight="1" x14ac:dyDescent="0.25">
      <c r="A85" s="18">
        <v>2029</v>
      </c>
      <c r="B85" s="27"/>
      <c r="C85" s="27">
        <f t="shared" si="0"/>
        <v>3.8017154360946874E-2</v>
      </c>
    </row>
    <row r="86" spans="1:3" ht="14.1" customHeight="1" x14ac:dyDescent="0.25">
      <c r="A86" s="18">
        <v>2030</v>
      </c>
      <c r="B86" s="27"/>
      <c r="C86" s="27">
        <f t="shared" si="0"/>
        <v>3.4249788351341653E-2</v>
      </c>
    </row>
    <row r="87" spans="1:3" ht="14.1" customHeight="1" x14ac:dyDescent="0.25">
      <c r="A87" s="18">
        <v>2031</v>
      </c>
      <c r="B87" s="27"/>
      <c r="C87" s="27">
        <f t="shared" si="0"/>
        <v>3.0482422341736433E-2</v>
      </c>
    </row>
    <row r="88" spans="1:3" ht="14.1" customHeight="1" x14ac:dyDescent="0.25">
      <c r="A88" s="18">
        <v>2032</v>
      </c>
      <c r="B88" s="27"/>
      <c r="C88" s="27">
        <f t="shared" si="0"/>
        <v>2.6715056332131212E-2</v>
      </c>
    </row>
    <row r="89" spans="1:3" ht="14.1" customHeight="1" x14ac:dyDescent="0.25">
      <c r="A89" s="18">
        <v>2033</v>
      </c>
      <c r="B89" s="27"/>
      <c r="C89" s="27">
        <f t="shared" si="0"/>
        <v>2.2947690322525992E-2</v>
      </c>
    </row>
    <row r="90" spans="1:3" ht="14.1" customHeight="1" x14ac:dyDescent="0.25">
      <c r="A90" s="18">
        <v>2034</v>
      </c>
      <c r="B90" s="27"/>
      <c r="C90" s="27">
        <f t="shared" si="0"/>
        <v>1.9180324312920771E-2</v>
      </c>
    </row>
    <row r="91" spans="1:3" ht="14.1" customHeight="1" x14ac:dyDescent="0.25">
      <c r="A91" s="18">
        <v>2035</v>
      </c>
      <c r="B91" s="27"/>
      <c r="C91" s="27">
        <f t="shared" si="0"/>
        <v>1.5412958303315551E-2</v>
      </c>
    </row>
    <row r="92" spans="1:3" ht="14.1" customHeight="1" x14ac:dyDescent="0.25">
      <c r="A92" s="18">
        <v>2036</v>
      </c>
      <c r="B92" s="27"/>
      <c r="C92" s="27">
        <f t="shared" si="0"/>
        <v>1.164559229371033E-2</v>
      </c>
    </row>
    <row r="93" spans="1:3" ht="14.1" customHeight="1" x14ac:dyDescent="0.25">
      <c r="A93" s="18">
        <v>2037</v>
      </c>
      <c r="B93" s="27"/>
      <c r="C93" s="27">
        <f t="shared" si="0"/>
        <v>7.8782262841051096E-3</v>
      </c>
    </row>
    <row r="94" spans="1:3" ht="14.1" customHeight="1" x14ac:dyDescent="0.25">
      <c r="A94" s="18">
        <v>2038</v>
      </c>
      <c r="B94" s="27"/>
      <c r="C94" s="27">
        <f t="shared" si="0"/>
        <v>4.110860274499889E-3</v>
      </c>
    </row>
    <row r="95" spans="1:3" ht="14.1" customHeight="1" x14ac:dyDescent="0.25">
      <c r="A95" s="18">
        <v>2039</v>
      </c>
      <c r="B95" s="27"/>
      <c r="C95" s="27">
        <f t="shared" si="0"/>
        <v>3.4349426489466844E-4</v>
      </c>
    </row>
    <row r="96" spans="1:3" ht="14.1" customHeight="1" x14ac:dyDescent="0.25">
      <c r="A96" s="18">
        <v>2040</v>
      </c>
      <c r="B96" s="27"/>
      <c r="C96" s="27">
        <f t="shared" si="0"/>
        <v>-3.4238717447105521E-3</v>
      </c>
    </row>
    <row r="97" spans="1:3" ht="14.1" customHeight="1" x14ac:dyDescent="0.25">
      <c r="A97" s="18">
        <v>2041</v>
      </c>
      <c r="B97" s="27"/>
      <c r="C97" s="27">
        <f t="shared" si="0"/>
        <v>-7.1912377543157727E-3</v>
      </c>
    </row>
    <row r="98" spans="1:3" ht="14.1" customHeight="1" x14ac:dyDescent="0.25">
      <c r="A98" s="18">
        <v>2042</v>
      </c>
      <c r="B98" s="27"/>
      <c r="C98" s="27">
        <f t="shared" si="0"/>
        <v>-1.0958603763920993E-2</v>
      </c>
    </row>
    <row r="99" spans="1:3" ht="14.1" customHeight="1" x14ac:dyDescent="0.25">
      <c r="A99" s="18">
        <v>2043</v>
      </c>
      <c r="B99" s="27"/>
      <c r="C99" s="27">
        <f t="shared" si="0"/>
        <v>-1.4725969773526214E-2</v>
      </c>
    </row>
    <row r="100" spans="1:3" ht="14.1" customHeight="1" x14ac:dyDescent="0.25">
      <c r="A100" s="18">
        <v>2044</v>
      </c>
      <c r="B100" s="27"/>
      <c r="C100" s="27">
        <f t="shared" si="0"/>
        <v>-1.8493335783131434E-2</v>
      </c>
    </row>
    <row r="101" spans="1:3" ht="14.1" customHeight="1" x14ac:dyDescent="0.25">
      <c r="A101" s="18">
        <v>2045</v>
      </c>
      <c r="B101" s="27"/>
      <c r="C101" s="27">
        <f t="shared" si="0"/>
        <v>-2.2260701792736655E-2</v>
      </c>
    </row>
    <row r="102" spans="1:3" ht="14.1" customHeight="1" x14ac:dyDescent="0.25">
      <c r="A102" s="18">
        <v>2046</v>
      </c>
      <c r="B102" s="27"/>
      <c r="C102" s="27">
        <f t="shared" si="0"/>
        <v>-2.6028067802341875E-2</v>
      </c>
    </row>
    <row r="103" spans="1:3" ht="14.1" customHeight="1" x14ac:dyDescent="0.25">
      <c r="A103" s="18">
        <v>2047</v>
      </c>
      <c r="B103" s="27"/>
      <c r="C103" s="27">
        <f t="shared" si="0"/>
        <v>-2.9795433811947096E-2</v>
      </c>
    </row>
    <row r="104" spans="1:3" ht="14.1" customHeight="1" x14ac:dyDescent="0.25">
      <c r="A104" s="18">
        <v>2048</v>
      </c>
      <c r="B104" s="27"/>
      <c r="C104" s="27">
        <f t="shared" si="0"/>
        <v>-3.3562799821552317E-2</v>
      </c>
    </row>
    <row r="105" spans="1:3" ht="14.1" customHeight="1" x14ac:dyDescent="0.25">
      <c r="A105" s="18">
        <v>2049</v>
      </c>
      <c r="B105" s="27"/>
      <c r="C105" s="27">
        <f t="shared" si="0"/>
        <v>-3.7330165831157537E-2</v>
      </c>
    </row>
    <row r="106" spans="1:3" ht="14.1" customHeight="1" x14ac:dyDescent="0.25">
      <c r="A106" s="18">
        <v>2050</v>
      </c>
      <c r="B106" s="27"/>
      <c r="C106" s="27">
        <f t="shared" si="0"/>
        <v>-4.1097531840762758E-2</v>
      </c>
    </row>
    <row r="108" spans="1:3" x14ac:dyDescent="0.25">
      <c r="A108" s="57" t="s">
        <v>45</v>
      </c>
      <c r="B108" s="49"/>
      <c r="C108" s="49"/>
    </row>
  </sheetData>
  <mergeCells count="5">
    <mergeCell ref="A3:C3"/>
    <mergeCell ref="A108:C108"/>
    <mergeCell ref="A1:C1"/>
    <mergeCell ref="A4:C4"/>
    <mergeCell ref="A2:C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8"/>
  <sheetViews>
    <sheetView showGridLines="0" zoomScale="90" workbookViewId="0">
      <selection activeCell="H1" sqref="H1:I1"/>
    </sheetView>
  </sheetViews>
  <sheetFormatPr baseColWidth="10" defaultColWidth="18.7109375" defaultRowHeight="15" x14ac:dyDescent="0.25"/>
  <cols>
    <col min="6" max="6" width="18.7109375" customWidth="1"/>
  </cols>
  <sheetData>
    <row r="1" spans="1:9" ht="27.95" customHeight="1" x14ac:dyDescent="0.25">
      <c r="A1" s="58" t="s">
        <v>63</v>
      </c>
      <c r="B1" s="49"/>
      <c r="C1" s="49"/>
      <c r="D1" s="49"/>
      <c r="E1" s="49"/>
      <c r="F1" s="49"/>
      <c r="H1" s="32" t="s">
        <v>110</v>
      </c>
      <c r="I1" s="33">
        <f>LN(B79/B7)/72</f>
        <v>4.4499643655071794E-2</v>
      </c>
    </row>
    <row r="2" spans="1:9" ht="15.95" customHeight="1" x14ac:dyDescent="0.25">
      <c r="A2" s="61" t="s">
        <v>64</v>
      </c>
      <c r="B2" s="49"/>
      <c r="C2" s="49"/>
      <c r="D2" s="49"/>
      <c r="E2" s="49"/>
      <c r="F2" s="49"/>
    </row>
    <row r="3" spans="1:9" ht="18" customHeight="1" x14ac:dyDescent="0.25">
      <c r="A3" s="62" t="s">
        <v>111</v>
      </c>
      <c r="B3" s="49"/>
      <c r="C3" s="49"/>
      <c r="D3" s="49"/>
      <c r="E3" s="49"/>
      <c r="F3" s="49"/>
    </row>
    <row r="4" spans="1:9" ht="24" customHeight="1" x14ac:dyDescent="0.25">
      <c r="A4" s="59" t="s">
        <v>65</v>
      </c>
      <c r="B4" s="49"/>
      <c r="C4" s="49"/>
      <c r="D4" s="49"/>
      <c r="E4" s="49"/>
      <c r="F4" s="49"/>
    </row>
    <row r="5" spans="1:9" ht="6" customHeight="1" x14ac:dyDescent="0.25"/>
    <row r="6" spans="1:9" ht="20.100000000000001" customHeight="1" x14ac:dyDescent="0.25">
      <c r="A6" s="12" t="s">
        <v>41</v>
      </c>
      <c r="B6" s="12" t="s">
        <v>66</v>
      </c>
      <c r="C6" s="34" t="s">
        <v>112</v>
      </c>
      <c r="D6" s="34" t="s">
        <v>113</v>
      </c>
      <c r="E6" s="34" t="s">
        <v>43</v>
      </c>
      <c r="F6" s="34" t="s">
        <v>114</v>
      </c>
    </row>
    <row r="7" spans="1:9" ht="14.1" customHeight="1" x14ac:dyDescent="0.25">
      <c r="A7" s="13">
        <v>1951</v>
      </c>
      <c r="B7" s="14">
        <v>3930.7274333018549</v>
      </c>
      <c r="C7" s="14">
        <f>LN(B7)</f>
        <v>8.2765797852671508</v>
      </c>
      <c r="D7" s="14"/>
      <c r="E7" s="14">
        <v>3930.7274333018549</v>
      </c>
      <c r="F7" s="14">
        <f>LN(E7)</f>
        <v>8.2765797852671508</v>
      </c>
    </row>
    <row r="8" spans="1:9" ht="14.1" customHeight="1" x14ac:dyDescent="0.25">
      <c r="A8" s="1">
        <v>1952</v>
      </c>
      <c r="B8" s="15">
        <v>4484.7369741422281</v>
      </c>
      <c r="C8" s="14">
        <f t="shared" ref="C8:C71" si="0">LN(B8)</f>
        <v>8.4084351270969684</v>
      </c>
      <c r="D8" s="15"/>
      <c r="E8" s="15">
        <f>E7*(1+$I$1)</f>
        <v>4105.6434033890027</v>
      </c>
      <c r="F8" s="15">
        <f t="shared" ref="F8:F71" si="1">LN(E8)</f>
        <v>8.3201177461184095</v>
      </c>
    </row>
    <row r="9" spans="1:9" ht="14.1" customHeight="1" x14ac:dyDescent="0.25">
      <c r="A9" s="13">
        <v>1953</v>
      </c>
      <c r="B9" s="14">
        <v>4824.9993771106192</v>
      </c>
      <c r="C9" s="14">
        <f t="shared" si="0"/>
        <v>8.4815658846768329</v>
      </c>
      <c r="D9" s="14"/>
      <c r="E9" s="14">
        <f t="shared" ref="E9:E72" si="2">E8*(1+$I$1)</f>
        <v>4288.3430718146092</v>
      </c>
      <c r="F9" s="14">
        <f t="shared" si="1"/>
        <v>8.3636557069696664</v>
      </c>
    </row>
    <row r="10" spans="1:9" ht="14.1" customHeight="1" x14ac:dyDescent="0.25">
      <c r="A10" s="1">
        <v>1954</v>
      </c>
      <c r="B10" s="15">
        <v>5060.6664148628661</v>
      </c>
      <c r="C10" s="14">
        <f t="shared" si="0"/>
        <v>8.5292534561515616</v>
      </c>
      <c r="D10" s="15"/>
      <c r="E10" s="15">
        <f t="shared" si="2"/>
        <v>4479.1728103810547</v>
      </c>
      <c r="F10" s="15">
        <f t="shared" si="1"/>
        <v>8.4071936678209251</v>
      </c>
    </row>
    <row r="11" spans="1:9" ht="14.1" customHeight="1" x14ac:dyDescent="0.25">
      <c r="A11" s="13">
        <v>1955</v>
      </c>
      <c r="B11" s="14">
        <v>5299.750550318553</v>
      </c>
      <c r="C11" s="14">
        <f t="shared" si="0"/>
        <v>8.5754150324549432</v>
      </c>
      <c r="D11" s="14"/>
      <c r="E11" s="14">
        <f t="shared" si="2"/>
        <v>4678.4944043124979</v>
      </c>
      <c r="F11" s="14">
        <f t="shared" si="1"/>
        <v>8.4507316286721821</v>
      </c>
    </row>
    <row r="12" spans="1:9" ht="14.1" customHeight="1" x14ac:dyDescent="0.25">
      <c r="A12" s="1">
        <v>1956</v>
      </c>
      <c r="B12" s="15">
        <v>5484.9218779568137</v>
      </c>
      <c r="C12" s="14">
        <f t="shared" si="0"/>
        <v>8.6097581297559067</v>
      </c>
      <c r="D12" s="15"/>
      <c r="E12" s="15">
        <f t="shared" si="2"/>
        <v>4886.6857381466516</v>
      </c>
      <c r="F12" s="15">
        <f t="shared" si="1"/>
        <v>8.4942695895234408</v>
      </c>
    </row>
    <row r="13" spans="1:9" ht="14.1" customHeight="1" x14ac:dyDescent="0.25">
      <c r="A13" s="13">
        <v>1957</v>
      </c>
      <c r="B13" s="14">
        <v>5823.908578481919</v>
      </c>
      <c r="C13" s="14">
        <f t="shared" si="0"/>
        <v>8.6697268923772732</v>
      </c>
      <c r="D13" s="14"/>
      <c r="E13" s="14">
        <f t="shared" si="2"/>
        <v>5104.1415121484988</v>
      </c>
      <c r="F13" s="14">
        <f t="shared" si="1"/>
        <v>8.5378075503746977</v>
      </c>
    </row>
    <row r="14" spans="1:9" ht="14.1" customHeight="1" x14ac:dyDescent="0.25">
      <c r="A14" s="1">
        <v>1958</v>
      </c>
      <c r="B14" s="15">
        <v>6071.6549435652114</v>
      </c>
      <c r="C14" s="14">
        <f t="shared" si="0"/>
        <v>8.7113864899846387</v>
      </c>
      <c r="D14" s="15"/>
      <c r="E14" s="15">
        <f t="shared" si="2"/>
        <v>5331.2739906041661</v>
      </c>
      <c r="F14" s="15">
        <f t="shared" si="1"/>
        <v>8.5813455112259565</v>
      </c>
    </row>
    <row r="15" spans="1:9" ht="14.1" customHeight="1" x14ac:dyDescent="0.25">
      <c r="A15" s="13">
        <v>1959</v>
      </c>
      <c r="B15" s="14">
        <v>6334.2319359889034</v>
      </c>
      <c r="C15" s="14">
        <f t="shared" si="0"/>
        <v>8.7537238440456218</v>
      </c>
      <c r="D15" s="14"/>
      <c r="E15" s="14">
        <f t="shared" si="2"/>
        <v>5568.513783413604</v>
      </c>
      <c r="F15" s="14">
        <f t="shared" si="1"/>
        <v>8.6248834720772152</v>
      </c>
    </row>
    <row r="16" spans="1:9" ht="14.1" customHeight="1" x14ac:dyDescent="0.25">
      <c r="A16" s="1">
        <v>1960</v>
      </c>
      <c r="B16" s="15">
        <v>6651.0822273807798</v>
      </c>
      <c r="C16" s="14">
        <f t="shared" si="0"/>
        <v>8.8025348613685424</v>
      </c>
      <c r="D16" s="15"/>
      <c r="E16" s="15">
        <f t="shared" si="2"/>
        <v>5816.3106624638649</v>
      </c>
      <c r="F16" s="15">
        <f t="shared" si="1"/>
        <v>8.6684214329284721</v>
      </c>
    </row>
    <row r="17" spans="1:6" ht="14.1" customHeight="1" x14ac:dyDescent="0.25">
      <c r="A17" s="13">
        <v>1961</v>
      </c>
      <c r="B17" s="14">
        <v>7010.7899335347483</v>
      </c>
      <c r="C17" s="14">
        <f t="shared" si="0"/>
        <v>8.8552056603468383</v>
      </c>
      <c r="D17" s="14"/>
      <c r="E17" s="14">
        <f t="shared" si="2"/>
        <v>6075.1344143307015</v>
      </c>
      <c r="F17" s="14">
        <f t="shared" si="1"/>
        <v>8.7119593937797308</v>
      </c>
    </row>
    <row r="18" spans="1:6" ht="14.1" customHeight="1" x14ac:dyDescent="0.25">
      <c r="A18" s="1">
        <v>1962</v>
      </c>
      <c r="B18" s="15">
        <v>7380.5713588522358</v>
      </c>
      <c r="C18" s="14">
        <f t="shared" si="0"/>
        <v>8.9066063344964288</v>
      </c>
      <c r="D18" s="15"/>
      <c r="E18" s="15">
        <f t="shared" si="2"/>
        <v>6345.4757309250808</v>
      </c>
      <c r="F18" s="15">
        <f t="shared" si="1"/>
        <v>8.7554973546309878</v>
      </c>
    </row>
    <row r="19" spans="1:6" ht="14.1" customHeight="1" x14ac:dyDescent="0.25">
      <c r="A19" s="13">
        <v>1963</v>
      </c>
      <c r="B19" s="14">
        <v>8046.5803047931786</v>
      </c>
      <c r="C19" s="14">
        <f t="shared" si="0"/>
        <v>8.993002473298624</v>
      </c>
      <c r="D19" s="14"/>
      <c r="E19" s="14">
        <f t="shared" si="2"/>
        <v>6627.8471397731528</v>
      </c>
      <c r="F19" s="14">
        <f t="shared" si="1"/>
        <v>8.7990353154822465</v>
      </c>
    </row>
    <row r="20" spans="1:6" ht="14.1" customHeight="1" x14ac:dyDescent="0.25">
      <c r="A20" s="1">
        <v>1964</v>
      </c>
      <c r="B20" s="15">
        <v>9105.3716941586408</v>
      </c>
      <c r="C20" s="14">
        <f t="shared" si="0"/>
        <v>9.1166198144101429</v>
      </c>
      <c r="D20" s="15"/>
      <c r="E20" s="15">
        <f t="shared" si="2"/>
        <v>6922.7839756933445</v>
      </c>
      <c r="F20" s="15">
        <f t="shared" si="1"/>
        <v>8.8425732763335034</v>
      </c>
    </row>
    <row r="21" spans="1:6" ht="14.1" customHeight="1" x14ac:dyDescent="0.25">
      <c r="A21" s="13">
        <v>1965</v>
      </c>
      <c r="B21" s="14">
        <v>9933.3546800617514</v>
      </c>
      <c r="C21" s="14">
        <f t="shared" si="0"/>
        <v>9.2036535328225817</v>
      </c>
      <c r="D21" s="14"/>
      <c r="E21" s="14">
        <f t="shared" si="2"/>
        <v>7230.8453957127394</v>
      </c>
      <c r="F21" s="14">
        <f t="shared" si="1"/>
        <v>8.8861112371847621</v>
      </c>
    </row>
    <row r="22" spans="1:6" ht="14.1" customHeight="1" x14ac:dyDescent="0.25">
      <c r="A22" s="1">
        <v>1966</v>
      </c>
      <c r="B22" s="15">
        <v>10616.178616709491</v>
      </c>
      <c r="C22" s="14">
        <f t="shared" si="0"/>
        <v>9.2701344011068887</v>
      </c>
      <c r="D22" s="15"/>
      <c r="E22" s="15">
        <f t="shared" si="2"/>
        <v>7552.6154391468726</v>
      </c>
      <c r="F22" s="15">
        <f t="shared" si="1"/>
        <v>8.9296491980360191</v>
      </c>
    </row>
    <row r="23" spans="1:6" ht="14.1" customHeight="1" x14ac:dyDescent="0.25">
      <c r="A23" s="13">
        <v>1967</v>
      </c>
      <c r="B23" s="14">
        <v>11330.14268209353</v>
      </c>
      <c r="C23" s="14">
        <f t="shared" si="0"/>
        <v>9.3352219472431575</v>
      </c>
      <c r="D23" s="14"/>
      <c r="E23" s="14">
        <f t="shared" si="2"/>
        <v>7888.7041348527018</v>
      </c>
      <c r="F23" s="14">
        <f t="shared" si="1"/>
        <v>8.9731871588872778</v>
      </c>
    </row>
    <row r="24" spans="1:6" ht="14.1" customHeight="1" x14ac:dyDescent="0.25">
      <c r="A24" s="1">
        <v>1968</v>
      </c>
      <c r="B24" s="15">
        <v>12064.899087659451</v>
      </c>
      <c r="C24" s="14">
        <f t="shared" si="0"/>
        <v>9.3980556139677471</v>
      </c>
      <c r="D24" s="15"/>
      <c r="E24" s="15">
        <f t="shared" si="2"/>
        <v>8239.7486577539385</v>
      </c>
      <c r="F24" s="15">
        <f t="shared" si="1"/>
        <v>9.0167251197385365</v>
      </c>
    </row>
    <row r="25" spans="1:6" ht="14.1" customHeight="1" x14ac:dyDescent="0.25">
      <c r="A25" s="13">
        <v>1969</v>
      </c>
      <c r="B25" s="14">
        <v>12954.49225592175</v>
      </c>
      <c r="C25" s="14">
        <f t="shared" si="0"/>
        <v>9.4691978993236141</v>
      </c>
      <c r="D25" s="14"/>
      <c r="E25" s="14">
        <f t="shared" si="2"/>
        <v>8606.4145368313439</v>
      </c>
      <c r="F25" s="14">
        <f t="shared" si="1"/>
        <v>9.0602630805897935</v>
      </c>
    </row>
    <row r="26" spans="1:6" ht="14.1" customHeight="1" x14ac:dyDescent="0.25">
      <c r="A26" s="1">
        <v>1970</v>
      </c>
      <c r="B26" s="15">
        <v>14173.16511279559</v>
      </c>
      <c r="C26" s="14">
        <f t="shared" si="0"/>
        <v>9.5591056749117609</v>
      </c>
      <c r="D26" s="15"/>
      <c r="E26" s="15">
        <f t="shared" si="2"/>
        <v>8989.3969168681688</v>
      </c>
      <c r="F26" s="15">
        <f t="shared" si="1"/>
        <v>9.1038010414410522</v>
      </c>
    </row>
    <row r="27" spans="1:6" ht="14.1" customHeight="1" x14ac:dyDescent="0.25">
      <c r="A27" s="13">
        <v>1971</v>
      </c>
      <c r="B27" s="14">
        <v>15657.77970446228</v>
      </c>
      <c r="C27" s="14">
        <f t="shared" si="0"/>
        <v>9.6587231781686249</v>
      </c>
      <c r="D27" s="14"/>
      <c r="E27" s="14">
        <f t="shared" si="2"/>
        <v>9389.4218763428034</v>
      </c>
      <c r="F27" s="14">
        <f t="shared" si="1"/>
        <v>9.1473390022923091</v>
      </c>
    </row>
    <row r="28" spans="1:6" ht="14.1" customHeight="1" x14ac:dyDescent="0.25">
      <c r="A28" s="1">
        <v>1972</v>
      </c>
      <c r="B28" s="15">
        <v>17326.860585540609</v>
      </c>
      <c r="C28" s="14">
        <f t="shared" si="0"/>
        <v>9.7600132113966751</v>
      </c>
      <c r="D28" s="15"/>
      <c r="E28" s="15">
        <f t="shared" si="2"/>
        <v>9807.2478039671932</v>
      </c>
      <c r="F28" s="15">
        <f t="shared" si="1"/>
        <v>9.1908769631435678</v>
      </c>
    </row>
    <row r="29" spans="1:6" ht="14.1" customHeight="1" x14ac:dyDescent="0.25">
      <c r="A29" s="13">
        <v>1973</v>
      </c>
      <c r="B29" s="14">
        <v>18133.006618661231</v>
      </c>
      <c r="C29" s="14">
        <f t="shared" si="0"/>
        <v>9.805489126660369</v>
      </c>
      <c r="D29" s="14"/>
      <c r="E29" s="14">
        <f t="shared" si="2"/>
        <v>10243.666836480719</v>
      </c>
      <c r="F29" s="14">
        <f t="shared" si="1"/>
        <v>9.2344149239948248</v>
      </c>
    </row>
    <row r="30" spans="1:6" ht="14.1" customHeight="1" x14ac:dyDescent="0.25">
      <c r="A30" s="1">
        <v>1974</v>
      </c>
      <c r="B30" s="15">
        <v>17165.636569507082</v>
      </c>
      <c r="C30" s="14">
        <f t="shared" si="0"/>
        <v>9.7506647905235244</v>
      </c>
      <c r="D30" s="15"/>
      <c r="E30" s="15">
        <f t="shared" si="2"/>
        <v>10699.506360425388</v>
      </c>
      <c r="F30" s="15">
        <f t="shared" si="1"/>
        <v>9.2779528848460835</v>
      </c>
    </row>
    <row r="31" spans="1:6" ht="14.1" customHeight="1" x14ac:dyDescent="0.25">
      <c r="A31" s="13">
        <v>1975</v>
      </c>
      <c r="B31" s="14">
        <v>17619.059990265439</v>
      </c>
      <c r="C31" s="14">
        <f t="shared" si="0"/>
        <v>9.7767365490469391</v>
      </c>
      <c r="D31" s="14"/>
      <c r="E31" s="14">
        <f t="shared" si="2"/>
        <v>11175.630580749492</v>
      </c>
      <c r="F31" s="14">
        <f t="shared" si="1"/>
        <v>9.3214908456973422</v>
      </c>
    </row>
    <row r="32" spans="1:6" ht="14.1" customHeight="1" x14ac:dyDescent="0.25">
      <c r="A32" s="1">
        <v>1976</v>
      </c>
      <c r="B32" s="15">
        <v>20337.522513781751</v>
      </c>
      <c r="C32" s="14">
        <f t="shared" si="0"/>
        <v>9.9202228585350021</v>
      </c>
      <c r="D32" s="15"/>
      <c r="E32" s="15">
        <f t="shared" si="2"/>
        <v>11672.942159213568</v>
      </c>
      <c r="F32" s="15">
        <f t="shared" si="1"/>
        <v>9.3650288065485991</v>
      </c>
    </row>
    <row r="33" spans="1:6" ht="14.1" customHeight="1" x14ac:dyDescent="0.25">
      <c r="A33" s="13">
        <v>1977</v>
      </c>
      <c r="B33" s="14">
        <v>21168.827708541012</v>
      </c>
      <c r="C33" s="14">
        <f t="shared" si="0"/>
        <v>9.9602849874676878</v>
      </c>
      <c r="D33" s="14"/>
      <c r="E33" s="14">
        <f t="shared" si="2"/>
        <v>12192.383925704835</v>
      </c>
      <c r="F33" s="14">
        <f t="shared" si="1"/>
        <v>9.4085667673998579</v>
      </c>
    </row>
    <row r="34" spans="1:6" ht="14.1" customHeight="1" x14ac:dyDescent="0.25">
      <c r="A34" s="1">
        <v>1978</v>
      </c>
      <c r="B34" s="15">
        <v>22945.10133962438</v>
      </c>
      <c r="C34" s="14">
        <f t="shared" si="0"/>
        <v>10.040859743451318</v>
      </c>
      <c r="D34" s="15"/>
      <c r="E34" s="15">
        <f t="shared" si="2"/>
        <v>12734.940665704526</v>
      </c>
      <c r="F34" s="15">
        <f t="shared" si="1"/>
        <v>9.4521047282511148</v>
      </c>
    </row>
    <row r="35" spans="1:6" ht="14.1" customHeight="1" x14ac:dyDescent="0.25">
      <c r="A35" s="13">
        <v>1979</v>
      </c>
      <c r="B35" s="14">
        <v>23815.589451010041</v>
      </c>
      <c r="C35" s="14">
        <f t="shared" si="0"/>
        <v>10.078095664178289</v>
      </c>
      <c r="D35" s="14"/>
      <c r="E35" s="14">
        <f t="shared" si="2"/>
        <v>13301.64098729686</v>
      </c>
      <c r="F35" s="14">
        <f t="shared" si="1"/>
        <v>9.4956426891023735</v>
      </c>
    </row>
    <row r="36" spans="1:6" ht="14.1" customHeight="1" x14ac:dyDescent="0.25">
      <c r="A36" s="1">
        <v>1980</v>
      </c>
      <c r="B36" s="15">
        <v>24548.701123389601</v>
      </c>
      <c r="C36" s="14">
        <f t="shared" si="0"/>
        <v>10.108414224425449</v>
      </c>
      <c r="D36" s="15"/>
      <c r="E36" s="15">
        <f t="shared" si="2"/>
        <v>13893.559271259266</v>
      </c>
      <c r="F36" s="15">
        <f t="shared" si="1"/>
        <v>9.5391806499536305</v>
      </c>
    </row>
    <row r="37" spans="1:6" ht="14.1" customHeight="1" x14ac:dyDescent="0.25">
      <c r="A37" s="13">
        <v>1981</v>
      </c>
      <c r="B37" s="14">
        <v>25752.076981641469</v>
      </c>
      <c r="C37" s="14">
        <f t="shared" si="0"/>
        <v>10.156270562320303</v>
      </c>
      <c r="D37" s="14"/>
      <c r="E37" s="14">
        <f t="shared" si="2"/>
        <v>14511.817707930923</v>
      </c>
      <c r="F37" s="14">
        <f t="shared" si="1"/>
        <v>9.5827186108048892</v>
      </c>
    </row>
    <row r="38" spans="1:6" ht="14.1" customHeight="1" x14ac:dyDescent="0.25">
      <c r="A38" s="1">
        <v>1982</v>
      </c>
      <c r="B38" s="15">
        <v>26392.86024570838</v>
      </c>
      <c r="C38" s="14">
        <f t="shared" si="0"/>
        <v>10.18084880731918</v>
      </c>
      <c r="D38" s="15"/>
      <c r="E38" s="15">
        <f t="shared" si="2"/>
        <v>15157.588424721209</v>
      </c>
      <c r="F38" s="15">
        <f t="shared" si="1"/>
        <v>9.6262565716561479</v>
      </c>
    </row>
    <row r="39" spans="1:6" ht="14.1" customHeight="1" x14ac:dyDescent="0.25">
      <c r="A39" s="13">
        <v>1983</v>
      </c>
      <c r="B39" s="14">
        <v>27581.96141888453</v>
      </c>
      <c r="C39" s="14">
        <f t="shared" si="0"/>
        <v>10.224917266254556</v>
      </c>
      <c r="D39" s="14"/>
      <c r="E39" s="14">
        <f t="shared" si="2"/>
        <v>15832.095708291543</v>
      </c>
      <c r="F39" s="14">
        <f t="shared" si="1"/>
        <v>9.6697945325074048</v>
      </c>
    </row>
    <row r="40" spans="1:6" ht="14.1" customHeight="1" x14ac:dyDescent="0.25">
      <c r="A40" s="1">
        <v>1984</v>
      </c>
      <c r="B40" s="15">
        <v>29144.276210968688</v>
      </c>
      <c r="C40" s="14">
        <f t="shared" si="0"/>
        <v>10.280013816099181</v>
      </c>
      <c r="D40" s="15"/>
      <c r="E40" s="15">
        <f t="shared" si="2"/>
        <v>16536.618325623509</v>
      </c>
      <c r="F40" s="15">
        <f t="shared" si="1"/>
        <v>9.7133324933586636</v>
      </c>
    </row>
    <row r="41" spans="1:6" ht="14.1" customHeight="1" x14ac:dyDescent="0.25">
      <c r="A41" s="13">
        <v>1985</v>
      </c>
      <c r="B41" s="14">
        <v>29978.377346416539</v>
      </c>
      <c r="C41" s="14">
        <f t="shared" si="0"/>
        <v>10.308231645655997</v>
      </c>
      <c r="D41" s="14"/>
      <c r="E41" s="14">
        <f t="shared" si="2"/>
        <v>17272.491948373685</v>
      </c>
      <c r="F41" s="14">
        <f t="shared" si="1"/>
        <v>9.7568704542099205</v>
      </c>
    </row>
    <row r="42" spans="1:6" ht="14.1" customHeight="1" x14ac:dyDescent="0.25">
      <c r="A42" s="1">
        <v>1986</v>
      </c>
      <c r="B42" s="15">
        <v>32697.99576333915</v>
      </c>
      <c r="C42" s="14">
        <f t="shared" si="0"/>
        <v>10.395069063365931</v>
      </c>
      <c r="D42" s="15"/>
      <c r="E42" s="15">
        <f t="shared" si="2"/>
        <v>18041.111685111409</v>
      </c>
      <c r="F42" s="15">
        <f t="shared" si="1"/>
        <v>9.8004084150611792</v>
      </c>
    </row>
    <row r="43" spans="1:6" ht="14.1" customHeight="1" x14ac:dyDescent="0.25">
      <c r="A43" s="13">
        <v>1987</v>
      </c>
      <c r="B43" s="14">
        <v>35027.783145754584</v>
      </c>
      <c r="C43" s="14">
        <f t="shared" si="0"/>
        <v>10.463896829740074</v>
      </c>
      <c r="D43" s="14"/>
      <c r="E43" s="14">
        <f t="shared" si="2"/>
        <v>18843.934726240219</v>
      </c>
      <c r="F43" s="14">
        <f t="shared" si="1"/>
        <v>9.8439463759124362</v>
      </c>
    </row>
    <row r="44" spans="1:6" ht="14.1" customHeight="1" x14ac:dyDescent="0.25">
      <c r="A44" s="1">
        <v>1988</v>
      </c>
      <c r="B44" s="15">
        <v>36579.553161662887</v>
      </c>
      <c r="C44" s="14">
        <f t="shared" si="0"/>
        <v>10.507244706497445</v>
      </c>
      <c r="D44" s="15"/>
      <c r="E44" s="15">
        <f t="shared" si="2"/>
        <v>19682.483106617339</v>
      </c>
      <c r="F44" s="15">
        <f t="shared" si="1"/>
        <v>9.8874843367636949</v>
      </c>
    </row>
    <row r="45" spans="1:6" ht="14.1" customHeight="1" x14ac:dyDescent="0.25">
      <c r="A45" s="13">
        <v>1989</v>
      </c>
      <c r="B45" s="14">
        <v>39192.547085474842</v>
      </c>
      <c r="C45" s="14">
        <f t="shared" si="0"/>
        <v>10.576241882331894</v>
      </c>
      <c r="D45" s="14"/>
      <c r="E45" s="14">
        <f t="shared" si="2"/>
        <v>20558.346591108781</v>
      </c>
      <c r="F45" s="14">
        <f t="shared" si="1"/>
        <v>9.9310222976149518</v>
      </c>
    </row>
    <row r="46" spans="1:6" ht="14.1" customHeight="1" x14ac:dyDescent="0.25">
      <c r="A46" s="1">
        <v>1990</v>
      </c>
      <c r="B46" s="15">
        <v>41337.892089754598</v>
      </c>
      <c r="C46" s="14">
        <f t="shared" si="0"/>
        <v>10.629534842331356</v>
      </c>
      <c r="D46" s="15"/>
      <c r="E46" s="15">
        <f t="shared" si="2"/>
        <v>21473.18568855058</v>
      </c>
      <c r="F46" s="15">
        <f t="shared" si="1"/>
        <v>9.9745602584662105</v>
      </c>
    </row>
    <row r="47" spans="1:6" ht="14.1" customHeight="1" x14ac:dyDescent="0.25">
      <c r="A47" s="13">
        <v>1991</v>
      </c>
      <c r="B47" s="14">
        <v>44236.494504301932</v>
      </c>
      <c r="C47" s="14">
        <f t="shared" si="0"/>
        <v>10.697305394908017</v>
      </c>
      <c r="D47" s="14"/>
      <c r="E47" s="14">
        <f t="shared" si="2"/>
        <v>22428.734799830268</v>
      </c>
      <c r="F47" s="14">
        <f t="shared" si="1"/>
        <v>10.018098219317469</v>
      </c>
    </row>
    <row r="48" spans="1:6" ht="14.1" customHeight="1" x14ac:dyDescent="0.25">
      <c r="A48" s="1">
        <v>1992</v>
      </c>
      <c r="B48" s="15">
        <v>46178.439463946474</v>
      </c>
      <c r="C48" s="14">
        <f t="shared" si="0"/>
        <v>10.740268289872079</v>
      </c>
      <c r="D48" s="15"/>
      <c r="E48" s="15">
        <f t="shared" si="2"/>
        <v>23426.805506056822</v>
      </c>
      <c r="F48" s="15">
        <f t="shared" si="1"/>
        <v>10.061636180168726</v>
      </c>
    </row>
    <row r="49" spans="1:6" ht="14.1" customHeight="1" x14ac:dyDescent="0.25">
      <c r="A49" s="13">
        <v>1993</v>
      </c>
      <c r="B49" s="14">
        <v>48685.784453834603</v>
      </c>
      <c r="C49" s="14">
        <f t="shared" si="0"/>
        <v>10.793142366127549</v>
      </c>
      <c r="D49" s="14"/>
      <c r="E49" s="14">
        <f t="shared" si="2"/>
        <v>24469.290003053025</v>
      </c>
      <c r="F49" s="14">
        <f t="shared" si="1"/>
        <v>10.105174141019985</v>
      </c>
    </row>
    <row r="50" spans="1:6" ht="14.1" customHeight="1" x14ac:dyDescent="0.25">
      <c r="A50" s="1">
        <v>1994</v>
      </c>
      <c r="B50" s="15">
        <v>50903.81097138676</v>
      </c>
      <c r="C50" s="14">
        <f t="shared" si="0"/>
        <v>10.837693071472344</v>
      </c>
      <c r="D50" s="15"/>
      <c r="E50" s="15">
        <f t="shared" si="2"/>
        <v>25558.164688681496</v>
      </c>
      <c r="F50" s="15">
        <f t="shared" si="1"/>
        <v>10.148712101871242</v>
      </c>
    </row>
    <row r="51" spans="1:6" ht="14.1" customHeight="1" x14ac:dyDescent="0.25">
      <c r="A51" s="13">
        <v>1995</v>
      </c>
      <c r="B51" s="14">
        <v>53262.285861658092</v>
      </c>
      <c r="C51" s="14">
        <f t="shared" si="0"/>
        <v>10.882983777366537</v>
      </c>
      <c r="D51" s="14"/>
      <c r="E51" s="14">
        <f t="shared" si="2"/>
        <v>26695.49390980546</v>
      </c>
      <c r="F51" s="14">
        <f t="shared" si="1"/>
        <v>10.192250062722501</v>
      </c>
    </row>
    <row r="52" spans="1:6" ht="14.1" customHeight="1" x14ac:dyDescent="0.25">
      <c r="A52" s="1">
        <v>1996</v>
      </c>
      <c r="B52" s="15">
        <v>57806.388770912403</v>
      </c>
      <c r="C52" s="14">
        <f t="shared" si="0"/>
        <v>10.964854580920944</v>
      </c>
      <c r="D52" s="15"/>
      <c r="E52" s="15">
        <f t="shared" si="2"/>
        <v>27883.433875987943</v>
      </c>
      <c r="F52" s="15">
        <f t="shared" si="1"/>
        <v>10.235788023573757</v>
      </c>
    </row>
    <row r="53" spans="1:6" ht="14.1" customHeight="1" x14ac:dyDescent="0.25">
      <c r="A53" s="13">
        <v>1997</v>
      </c>
      <c r="B53" s="14">
        <v>60928.209878751579</v>
      </c>
      <c r="C53" s="14">
        <f t="shared" si="0"/>
        <v>11.017451562846253</v>
      </c>
      <c r="D53" s="14"/>
      <c r="E53" s="14">
        <f t="shared" si="2"/>
        <v>29124.236747349161</v>
      </c>
      <c r="F53" s="14">
        <f t="shared" si="1"/>
        <v>10.279325984425016</v>
      </c>
    </row>
    <row r="54" spans="1:6" ht="14.1" customHeight="1" x14ac:dyDescent="0.25">
      <c r="A54" s="1">
        <v>1998</v>
      </c>
      <c r="B54" s="15">
        <v>64092.857150618023</v>
      </c>
      <c r="C54" s="14">
        <f t="shared" si="0"/>
        <v>11.068088203791978</v>
      </c>
      <c r="D54" s="15"/>
      <c r="E54" s="15">
        <f t="shared" si="2"/>
        <v>30420.254904332145</v>
      </c>
      <c r="F54" s="15">
        <f t="shared" si="1"/>
        <v>10.322863945276275</v>
      </c>
    </row>
    <row r="55" spans="1:6" ht="14.1" customHeight="1" x14ac:dyDescent="0.25">
      <c r="A55" s="13">
        <v>1999</v>
      </c>
      <c r="B55" s="14">
        <v>66559.177997897234</v>
      </c>
      <c r="C55" s="14">
        <f t="shared" si="0"/>
        <v>11.105846725627623</v>
      </c>
      <c r="D55" s="14"/>
      <c r="E55" s="14">
        <f t="shared" si="2"/>
        <v>31773.945407471376</v>
      </c>
      <c r="F55" s="14">
        <f t="shared" si="1"/>
        <v>10.366401906127532</v>
      </c>
    </row>
    <row r="56" spans="1:6" ht="14.1" customHeight="1" x14ac:dyDescent="0.25">
      <c r="A56" s="1">
        <v>2000</v>
      </c>
      <c r="B56" s="15">
        <v>68356.99791748359</v>
      </c>
      <c r="C56" s="14">
        <f t="shared" si="0"/>
        <v>11.132499220488191</v>
      </c>
      <c r="D56" s="15"/>
      <c r="E56" s="15">
        <f t="shared" si="2"/>
        <v>33187.874655619555</v>
      </c>
      <c r="F56" s="15">
        <f t="shared" si="1"/>
        <v>10.409939866978791</v>
      </c>
    </row>
    <row r="57" spans="1:6" ht="14.1" customHeight="1" x14ac:dyDescent="0.25">
      <c r="A57" s="13">
        <v>2001</v>
      </c>
      <c r="B57" s="14">
        <v>68929.610874903985</v>
      </c>
      <c r="C57" s="14">
        <f t="shared" si="0"/>
        <v>11.140841130642581</v>
      </c>
      <c r="D57" s="14"/>
      <c r="E57" s="14">
        <f t="shared" si="2"/>
        <v>34664.723251463809</v>
      </c>
      <c r="F57" s="14">
        <f t="shared" si="1"/>
        <v>10.453477827830048</v>
      </c>
    </row>
    <row r="58" spans="1:6" ht="14.1" customHeight="1" x14ac:dyDescent="0.25">
      <c r="A58" s="1">
        <v>2002</v>
      </c>
      <c r="B58" s="15">
        <v>71475.267220905953</v>
      </c>
      <c r="C58" s="14">
        <f t="shared" si="0"/>
        <v>11.177106755846076</v>
      </c>
      <c r="D58" s="15"/>
      <c r="E58" s="15">
        <f t="shared" si="2"/>
        <v>36207.291083555632</v>
      </c>
      <c r="F58" s="15">
        <f t="shared" si="1"/>
        <v>10.497015788681306</v>
      </c>
    </row>
    <row r="59" spans="1:6" ht="14.1" customHeight="1" x14ac:dyDescent="0.25">
      <c r="A59" s="13">
        <v>2003</v>
      </c>
      <c r="B59" s="14">
        <v>72115.266094388135</v>
      </c>
      <c r="C59" s="14">
        <f t="shared" si="0"/>
        <v>11.186021035872665</v>
      </c>
      <c r="D59" s="14"/>
      <c r="E59" s="14">
        <f t="shared" si="2"/>
        <v>37818.502634489312</v>
      </c>
      <c r="F59" s="14">
        <f t="shared" si="1"/>
        <v>10.540553749532563</v>
      </c>
    </row>
    <row r="60" spans="1:6" ht="14.1" customHeight="1" x14ac:dyDescent="0.25">
      <c r="A60" s="1">
        <v>2004</v>
      </c>
      <c r="B60" s="15">
        <v>73003.093304098875</v>
      </c>
      <c r="C60" s="14">
        <f t="shared" si="0"/>
        <v>11.198257093261526</v>
      </c>
      <c r="D60" s="15"/>
      <c r="E60" s="15">
        <f t="shared" si="2"/>
        <v>39501.412525292479</v>
      </c>
      <c r="F60" s="15">
        <f t="shared" si="1"/>
        <v>10.584091710383822</v>
      </c>
    </row>
    <row r="61" spans="1:6" ht="14.1" customHeight="1" x14ac:dyDescent="0.25">
      <c r="A61" s="13">
        <v>2005</v>
      </c>
      <c r="B61" s="14">
        <v>73940.279416149686</v>
      </c>
      <c r="C61" s="14">
        <f t="shared" si="0"/>
        <v>11.211013011441418</v>
      </c>
      <c r="D61" s="14"/>
      <c r="E61" s="14">
        <f t="shared" si="2"/>
        <v>41259.211306539983</v>
      </c>
      <c r="F61" s="14">
        <f t="shared" si="1"/>
        <v>10.627629671235079</v>
      </c>
    </row>
    <row r="62" spans="1:6" ht="14.1" customHeight="1" x14ac:dyDescent="0.25">
      <c r="A62" s="1">
        <v>2006</v>
      </c>
      <c r="B62" s="15">
        <v>75145.239925477377</v>
      </c>
      <c r="C62" s="14">
        <f t="shared" si="0"/>
        <v>11.227178052196651</v>
      </c>
      <c r="D62" s="15"/>
      <c r="E62" s="15">
        <f t="shared" si="2"/>
        <v>43095.23150717032</v>
      </c>
      <c r="F62" s="15">
        <f t="shared" si="1"/>
        <v>10.671167632086338</v>
      </c>
    </row>
    <row r="63" spans="1:6" ht="14.1" customHeight="1" x14ac:dyDescent="0.25">
      <c r="A63" s="13">
        <v>2007</v>
      </c>
      <c r="B63" s="14">
        <v>77498.320838019063</v>
      </c>
      <c r="C63" s="14">
        <f t="shared" si="0"/>
        <v>11.258011548500509</v>
      </c>
      <c r="D63" s="14"/>
      <c r="E63" s="14">
        <f t="shared" si="2"/>
        <v>45012.95395247222</v>
      </c>
      <c r="F63" s="14">
        <f t="shared" si="1"/>
        <v>10.714705592937596</v>
      </c>
    </row>
    <row r="64" spans="1:6" ht="14.1" customHeight="1" x14ac:dyDescent="0.25">
      <c r="A64" s="1">
        <v>2008</v>
      </c>
      <c r="B64" s="15">
        <v>73404.465096326647</v>
      </c>
      <c r="C64" s="14">
        <f t="shared" si="0"/>
        <v>11.203740045127416</v>
      </c>
      <c r="D64" s="15"/>
      <c r="E64" s="15">
        <f t="shared" si="2"/>
        <v>47016.014363219387</v>
      </c>
      <c r="F64" s="15">
        <f t="shared" si="1"/>
        <v>10.758243553788853</v>
      </c>
    </row>
    <row r="65" spans="1:6" ht="14.1" customHeight="1" x14ac:dyDescent="0.25">
      <c r="A65" s="13">
        <v>2009</v>
      </c>
      <c r="B65" s="14">
        <v>74534.138853385492</v>
      </c>
      <c r="C65" s="14">
        <f t="shared" si="0"/>
        <v>11.219012539050688</v>
      </c>
      <c r="D65" s="14"/>
      <c r="E65" s="14">
        <f t="shared" si="2"/>
        <v>49108.210248464384</v>
      </c>
      <c r="F65" s="14">
        <f t="shared" si="1"/>
        <v>10.801781514640112</v>
      </c>
    </row>
    <row r="66" spans="1:6" ht="14.1" customHeight="1" x14ac:dyDescent="0.25">
      <c r="A66" s="1">
        <v>2010</v>
      </c>
      <c r="B66" s="15">
        <v>79330.931548977431</v>
      </c>
      <c r="C66" s="14">
        <f t="shared" si="0"/>
        <v>11.281383388934495</v>
      </c>
      <c r="D66" s="15"/>
      <c r="E66" s="15">
        <f t="shared" si="2"/>
        <v>51293.508105059394</v>
      </c>
      <c r="F66" s="15">
        <f t="shared" si="1"/>
        <v>10.845319475491369</v>
      </c>
    </row>
    <row r="67" spans="1:6" ht="14.1" customHeight="1" x14ac:dyDescent="0.25">
      <c r="A67" s="13">
        <v>2011</v>
      </c>
      <c r="B67" s="14">
        <v>78912.635495531897</v>
      </c>
      <c r="C67" s="14">
        <f t="shared" si="0"/>
        <v>11.276096639709502</v>
      </c>
      <c r="D67" s="14"/>
      <c r="E67" s="14">
        <f t="shared" si="2"/>
        <v>53576.050937553075</v>
      </c>
      <c r="F67" s="14">
        <f t="shared" si="1"/>
        <v>10.888857436342628</v>
      </c>
    </row>
    <row r="68" spans="1:6" ht="14.1" customHeight="1" x14ac:dyDescent="0.25">
      <c r="A68" s="1">
        <v>2012</v>
      </c>
      <c r="B68" s="15">
        <v>80188.87991394804</v>
      </c>
      <c r="C68" s="14">
        <f t="shared" si="0"/>
        <v>11.29214012980164</v>
      </c>
      <c r="D68" s="15"/>
      <c r="E68" s="15">
        <f t="shared" si="2"/>
        <v>55960.166112720159</v>
      </c>
      <c r="F68" s="15">
        <f t="shared" si="1"/>
        <v>10.932395397193885</v>
      </c>
    </row>
    <row r="69" spans="1:6" ht="14.1" customHeight="1" x14ac:dyDescent="0.25">
      <c r="A69" s="13">
        <v>2013</v>
      </c>
      <c r="B69" s="14">
        <v>79965.543180834546</v>
      </c>
      <c r="C69" s="14">
        <f t="shared" si="0"/>
        <v>11.289351110634152</v>
      </c>
      <c r="D69" s="14"/>
      <c r="E69" s="14">
        <f t="shared" si="2"/>
        <v>58450.373563614827</v>
      </c>
      <c r="F69" s="14">
        <f t="shared" si="1"/>
        <v>10.975933358045143</v>
      </c>
    </row>
    <row r="70" spans="1:6" ht="14.1" customHeight="1" x14ac:dyDescent="0.25">
      <c r="A70" s="1">
        <v>2014</v>
      </c>
      <c r="B70" s="15">
        <v>81695.409734809495</v>
      </c>
      <c r="C70" s="14">
        <f t="shared" si="0"/>
        <v>11.310753094873235</v>
      </c>
      <c r="D70" s="15"/>
      <c r="E70" s="15">
        <f t="shared" si="2"/>
        <v>61051.394358701516</v>
      </c>
      <c r="F70" s="15">
        <f t="shared" si="1"/>
        <v>11.019471318896402</v>
      </c>
    </row>
    <row r="71" spans="1:6" ht="14.1" customHeight="1" x14ac:dyDescent="0.25">
      <c r="A71" s="13">
        <v>2015</v>
      </c>
      <c r="B71" s="14">
        <v>83693.727280364124</v>
      </c>
      <c r="C71" s="14">
        <f t="shared" si="0"/>
        <v>11.334919310782281</v>
      </c>
      <c r="D71" s="14"/>
      <c r="E71" s="14">
        <f t="shared" si="2"/>
        <v>63768.15965230899</v>
      </c>
      <c r="F71" s="14">
        <f t="shared" si="1"/>
        <v>11.063009279747659</v>
      </c>
    </row>
    <row r="72" spans="1:6" ht="14.1" customHeight="1" x14ac:dyDescent="0.25">
      <c r="A72" s="1">
        <v>2016</v>
      </c>
      <c r="B72" s="15">
        <v>82956.306221930616</v>
      </c>
      <c r="C72" s="14">
        <f t="shared" ref="C72:C79" si="3">LN(B72)</f>
        <v>11.326069317104178</v>
      </c>
      <c r="D72" s="15"/>
      <c r="E72" s="15">
        <f t="shared" si="2"/>
        <v>66605.820033376469</v>
      </c>
      <c r="F72" s="15">
        <f t="shared" ref="F72:F106" si="4">LN(E72)</f>
        <v>11.106547240598918</v>
      </c>
    </row>
    <row r="73" spans="1:6" ht="14.1" customHeight="1" x14ac:dyDescent="0.25">
      <c r="A73" s="13">
        <v>2017</v>
      </c>
      <c r="B73" s="14">
        <v>82710.137856603003</v>
      </c>
      <c r="C73" s="14">
        <f t="shared" si="3"/>
        <v>11.323097459431063</v>
      </c>
      <c r="D73" s="14"/>
      <c r="E73" s="14">
        <f t="shared" ref="E73:E106" si="5">E72*(1+$I$1)</f>
        <v>69569.755290215558</v>
      </c>
      <c r="F73" s="14">
        <f t="shared" si="4"/>
        <v>11.150085201450175</v>
      </c>
    </row>
    <row r="74" spans="1:6" ht="14.1" customHeight="1" x14ac:dyDescent="0.25">
      <c r="A74" s="1">
        <v>2018</v>
      </c>
      <c r="B74" s="15">
        <v>82012.599986904563</v>
      </c>
      <c r="C74" s="14">
        <f t="shared" si="3"/>
        <v>11.314628172819036</v>
      </c>
      <c r="D74" s="15"/>
      <c r="E74" s="15">
        <f t="shared" si="5"/>
        <v>72665.584609800688</v>
      </c>
      <c r="F74" s="15">
        <f t="shared" si="4"/>
        <v>11.193623162301433</v>
      </c>
    </row>
    <row r="75" spans="1:6" ht="14.1" customHeight="1" x14ac:dyDescent="0.25">
      <c r="A75" s="13">
        <v>2019</v>
      </c>
      <c r="B75" s="14">
        <v>84417.85309837434</v>
      </c>
      <c r="C75" s="14">
        <f t="shared" si="3"/>
        <v>11.343534187816408</v>
      </c>
      <c r="D75" s="14"/>
      <c r="E75" s="14">
        <f t="shared" si="5"/>
        <v>75899.177230924281</v>
      </c>
      <c r="F75" s="14">
        <f t="shared" si="4"/>
        <v>11.23716112315269</v>
      </c>
    </row>
    <row r="76" spans="1:6" ht="14.1" customHeight="1" x14ac:dyDescent="0.25">
      <c r="A76" s="1">
        <v>2020</v>
      </c>
      <c r="B76" s="15">
        <v>89913.098410636245</v>
      </c>
      <c r="C76" s="14">
        <f t="shared" si="3"/>
        <v>11.406598909631137</v>
      </c>
      <c r="D76" s="15"/>
      <c r="E76" s="15">
        <f t="shared" si="5"/>
        <v>79276.663571413548</v>
      </c>
      <c r="F76" s="15">
        <f t="shared" si="4"/>
        <v>11.280699084003949</v>
      </c>
    </row>
    <row r="77" spans="1:6" ht="14.1" customHeight="1" x14ac:dyDescent="0.25">
      <c r="A77" s="13">
        <v>2021</v>
      </c>
      <c r="B77" s="14">
        <v>94016.124866580256</v>
      </c>
      <c r="C77" s="14">
        <f t="shared" si="3"/>
        <v>11.451221587674475</v>
      </c>
      <c r="D77" s="14"/>
      <c r="E77" s="14">
        <f t="shared" si="5"/>
        <v>82804.446850504464</v>
      </c>
      <c r="F77" s="14">
        <f t="shared" si="4"/>
        <v>11.324237044855206</v>
      </c>
    </row>
    <row r="78" spans="1:6" ht="14.1" customHeight="1" x14ac:dyDescent="0.25">
      <c r="A78" s="1">
        <v>2022</v>
      </c>
      <c r="B78" s="15">
        <v>94761.279921722293</v>
      </c>
      <c r="C78" s="14">
        <f t="shared" si="3"/>
        <v>11.459116165164643</v>
      </c>
      <c r="D78" s="15"/>
      <c r="E78" s="15">
        <f t="shared" si="5"/>
        <v>86489.215228407236</v>
      </c>
      <c r="F78" s="15">
        <f t="shared" si="4"/>
        <v>11.367775005706465</v>
      </c>
    </row>
    <row r="79" spans="1:6" ht="14.1" customHeight="1" thickBot="1" x14ac:dyDescent="0.3">
      <c r="A79" s="16">
        <v>2023</v>
      </c>
      <c r="B79" s="17">
        <v>96814.700696388783</v>
      </c>
      <c r="C79" s="17">
        <f t="shared" si="3"/>
        <v>11.48055412843232</v>
      </c>
      <c r="D79" s="17">
        <v>11.48055412843232</v>
      </c>
      <c r="E79" s="17">
        <f t="shared" si="5"/>
        <v>90337.954486078161</v>
      </c>
      <c r="F79" s="17">
        <f t="shared" si="4"/>
        <v>11.411312966557722</v>
      </c>
    </row>
    <row r="80" spans="1:6" ht="14.1" customHeight="1" x14ac:dyDescent="0.25">
      <c r="A80" s="18">
        <v>2024</v>
      </c>
      <c r="B80" s="19">
        <f t="shared" ref="B80:B106" si="6">B79*(1+$I$1)</f>
        <v>101122.9203779505</v>
      </c>
      <c r="C80" s="19"/>
      <c r="D80" s="19">
        <f>LN(B80)</f>
        <v>11.524092089283577</v>
      </c>
      <c r="E80" s="19">
        <f t="shared" si="5"/>
        <v>94357.961269236723</v>
      </c>
      <c r="F80" s="19">
        <f t="shared" si="4"/>
        <v>11.45485092740898</v>
      </c>
    </row>
    <row r="81" spans="1:6" ht="14.1" customHeight="1" x14ac:dyDescent="0.25">
      <c r="A81" s="18">
        <v>2025</v>
      </c>
      <c r="B81" s="19">
        <f t="shared" si="6"/>
        <v>105622.85430012949</v>
      </c>
      <c r="C81" s="19"/>
      <c r="D81" s="19">
        <f t="shared" ref="D81:D106" si="7">LN(B81)</f>
        <v>11.567630050134836</v>
      </c>
      <c r="E81" s="19">
        <f t="shared" si="5"/>
        <v>98556.85692173682</v>
      </c>
      <c r="F81" s="19">
        <f t="shared" si="4"/>
        <v>11.498388888260237</v>
      </c>
    </row>
    <row r="82" spans="1:6" ht="14.1" customHeight="1" x14ac:dyDescent="0.25">
      <c r="A82" s="18">
        <v>2026</v>
      </c>
      <c r="B82" s="19">
        <f t="shared" si="6"/>
        <v>110323.03367831682</v>
      </c>
      <c r="C82" s="19"/>
      <c r="D82" s="19">
        <f t="shared" si="7"/>
        <v>11.611168010986093</v>
      </c>
      <c r="E82" s="19">
        <f t="shared" si="5"/>
        <v>102942.601934518</v>
      </c>
      <c r="F82" s="19">
        <f t="shared" si="4"/>
        <v>11.541926849111496</v>
      </c>
    </row>
    <row r="83" spans="1:6" ht="14.1" customHeight="1" x14ac:dyDescent="0.25">
      <c r="A83" s="18">
        <v>2027</v>
      </c>
      <c r="B83" s="19">
        <f t="shared" si="6"/>
        <v>115232.3693639484</v>
      </c>
      <c r="C83" s="19"/>
      <c r="D83" s="19">
        <f t="shared" si="7"/>
        <v>11.654705971837352</v>
      </c>
      <c r="E83" s="19">
        <f t="shared" si="5"/>
        <v>107523.51103752994</v>
      </c>
      <c r="F83" s="19">
        <f t="shared" si="4"/>
        <v>11.585464809962755</v>
      </c>
    </row>
    <row r="84" spans="1:6" ht="14.1" customHeight="1" x14ac:dyDescent="0.25">
      <c r="A84" s="18">
        <v>2028</v>
      </c>
      <c r="B84" s="19">
        <f t="shared" si="6"/>
        <v>120360.16873817371</v>
      </c>
      <c r="C84" s="19"/>
      <c r="D84" s="19">
        <f t="shared" si="7"/>
        <v>11.698243932688609</v>
      </c>
      <c r="E84" s="19">
        <f t="shared" si="5"/>
        <v>112308.2689632422</v>
      </c>
      <c r="F84" s="19">
        <f t="shared" si="4"/>
        <v>11.629002770814012</v>
      </c>
    </row>
    <row r="85" spans="1:6" ht="14.1" customHeight="1" x14ac:dyDescent="0.25">
      <c r="A85" s="18">
        <v>2029</v>
      </c>
      <c r="B85" s="19">
        <f t="shared" si="6"/>
        <v>125716.15335728675</v>
      </c>
      <c r="C85" s="19"/>
      <c r="D85" s="19">
        <f t="shared" si="7"/>
        <v>11.741781893539867</v>
      </c>
      <c r="E85" s="19">
        <f t="shared" si="5"/>
        <v>117305.94691162443</v>
      </c>
      <c r="F85" s="19">
        <f t="shared" si="4"/>
        <v>11.67254073166527</v>
      </c>
    </row>
    <row r="86" spans="1:6" ht="14.1" customHeight="1" x14ac:dyDescent="0.25">
      <c r="A86" s="18">
        <v>2030</v>
      </c>
      <c r="B86" s="19">
        <f t="shared" si="6"/>
        <v>131310.47738337237</v>
      </c>
      <c r="C86" s="19"/>
      <c r="D86" s="19">
        <f t="shared" si="7"/>
        <v>11.785319854391126</v>
      </c>
      <c r="E86" s="19">
        <f t="shared" si="5"/>
        <v>122526.01974781248</v>
      </c>
      <c r="F86" s="19">
        <f t="shared" si="4"/>
        <v>11.716078692516527</v>
      </c>
    </row>
    <row r="87" spans="1:6" ht="14.1" customHeight="1" x14ac:dyDescent="0.25">
      <c r="A87" s="18">
        <v>2031</v>
      </c>
      <c r="B87" s="19">
        <f t="shared" si="6"/>
        <v>137153.74683510981</v>
      </c>
      <c r="C87" s="19"/>
      <c r="D87" s="19">
        <f t="shared" si="7"/>
        <v>11.828857815242383</v>
      </c>
      <c r="E87" s="19">
        <f t="shared" si="5"/>
        <v>127978.38396506442</v>
      </c>
      <c r="F87" s="19">
        <f t="shared" si="4"/>
        <v>11.759616653367786</v>
      </c>
    </row>
    <row r="88" spans="1:6" ht="14.1" customHeight="1" x14ac:dyDescent="0.25">
      <c r="A88" s="18">
        <v>2032</v>
      </c>
      <c r="B88" s="19">
        <f t="shared" si="6"/>
        <v>143257.03969523011</v>
      </c>
      <c r="C88" s="19"/>
      <c r="D88" s="19">
        <f t="shared" si="7"/>
        <v>11.872395776093642</v>
      </c>
      <c r="E88" s="19">
        <f t="shared" si="5"/>
        <v>133673.37644706175</v>
      </c>
      <c r="F88" s="19">
        <f t="shared" si="4"/>
        <v>11.803154614219043</v>
      </c>
    </row>
    <row r="89" spans="1:6" ht="14.1" customHeight="1" x14ac:dyDescent="0.25">
      <c r="A89" s="18">
        <v>2033</v>
      </c>
      <c r="B89" s="19">
        <f t="shared" si="6"/>
        <v>149631.92691274831</v>
      </c>
      <c r="C89" s="19"/>
      <c r="D89" s="19">
        <f t="shared" si="7"/>
        <v>11.915933736944899</v>
      </c>
      <c r="E89" s="19">
        <f t="shared" si="5"/>
        <v>139621.79406512625</v>
      </c>
      <c r="F89" s="19">
        <f t="shared" si="4"/>
        <v>11.846692575070302</v>
      </c>
    </row>
    <row r="90" spans="1:6" ht="14.1" customHeight="1" x14ac:dyDescent="0.25">
      <c r="A90" s="18">
        <v>2034</v>
      </c>
      <c r="B90" s="19">
        <f t="shared" si="6"/>
        <v>156290.49433978734</v>
      </c>
      <c r="C90" s="19"/>
      <c r="D90" s="19">
        <f t="shared" si="7"/>
        <v>11.959471697796157</v>
      </c>
      <c r="E90" s="19">
        <f t="shared" si="5"/>
        <v>145834.91414750618</v>
      </c>
      <c r="F90" s="19">
        <f t="shared" si="4"/>
        <v>11.890230535921559</v>
      </c>
    </row>
    <row r="91" spans="1:6" ht="14.1" customHeight="1" x14ac:dyDescent="0.25">
      <c r="A91" s="18">
        <v>2035</v>
      </c>
      <c r="B91" s="19">
        <f t="shared" si="6"/>
        <v>163245.3656445829</v>
      </c>
      <c r="C91" s="19"/>
      <c r="D91" s="19">
        <f t="shared" si="7"/>
        <v>12.003009658647414</v>
      </c>
      <c r="E91" s="19">
        <f t="shared" si="5"/>
        <v>152324.51585953819</v>
      </c>
      <c r="F91" s="19">
        <f t="shared" si="4"/>
        <v>11.933768496772817</v>
      </c>
    </row>
    <row r="92" spans="1:6" ht="14.1" customHeight="1" x14ac:dyDescent="0.25">
      <c r="A92" s="18">
        <v>2036</v>
      </c>
      <c r="B92" s="19">
        <f t="shared" si="6"/>
        <v>170509.72624410872</v>
      </c>
      <c r="C92" s="19"/>
      <c r="D92" s="19">
        <f t="shared" si="7"/>
        <v>12.046547619498673</v>
      </c>
      <c r="E92" s="19">
        <f t="shared" si="5"/>
        <v>159102.90253521898</v>
      </c>
      <c r="F92" s="19">
        <f t="shared" si="4"/>
        <v>11.977306457624076</v>
      </c>
    </row>
    <row r="93" spans="1:6" ht="14.1" customHeight="1" x14ac:dyDescent="0.25">
      <c r="A93" s="18">
        <v>2037</v>
      </c>
      <c r="B93" s="19">
        <f t="shared" si="6"/>
        <v>178097.3483016954</v>
      </c>
      <c r="C93" s="19"/>
      <c r="D93" s="19">
        <f t="shared" si="7"/>
        <v>12.09008558034993</v>
      </c>
      <c r="E93" s="19">
        <f t="shared" si="5"/>
        <v>166182.92500252384</v>
      </c>
      <c r="F93" s="19">
        <f t="shared" si="4"/>
        <v>12.020844418475333</v>
      </c>
    </row>
    <row r="94" spans="1:6" ht="14.1" customHeight="1" x14ac:dyDescent="0.25">
      <c r="A94" s="18">
        <v>2038</v>
      </c>
      <c r="B94" s="19">
        <f t="shared" si="6"/>
        <v>186022.61683703403</v>
      </c>
      <c r="C94" s="19"/>
      <c r="D94" s="19">
        <f t="shared" si="7"/>
        <v>12.133623541201189</v>
      </c>
      <c r="E94" s="19">
        <f t="shared" si="5"/>
        <v>173578.00594669368</v>
      </c>
      <c r="F94" s="19">
        <f t="shared" si="4"/>
        <v>12.064382379326592</v>
      </c>
    </row>
    <row r="95" spans="1:6" ht="14.1" customHeight="1" x14ac:dyDescent="0.25">
      <c r="A95" s="18">
        <v>2039</v>
      </c>
      <c r="B95" s="19">
        <f t="shared" si="6"/>
        <v>194300.55699806599</v>
      </c>
      <c r="C95" s="19"/>
      <c r="D95" s="19">
        <f t="shared" si="7"/>
        <v>12.177161502052448</v>
      </c>
      <c r="E95" s="19">
        <f t="shared" si="5"/>
        <v>181302.16535767948</v>
      </c>
      <c r="F95" s="19">
        <f t="shared" si="4"/>
        <v>12.107920340177849</v>
      </c>
    </row>
    <row r="96" spans="1:6" ht="14.1" customHeight="1" x14ac:dyDescent="0.25">
      <c r="A96" s="18">
        <v>2040</v>
      </c>
      <c r="B96" s="19">
        <f t="shared" si="6"/>
        <v>202946.8625464619</v>
      </c>
      <c r="C96" s="19"/>
      <c r="D96" s="19">
        <f t="shared" si="7"/>
        <v>12.220699462903704</v>
      </c>
      <c r="E96" s="19">
        <f t="shared" si="5"/>
        <v>189370.0471099891</v>
      </c>
      <c r="F96" s="19">
        <f t="shared" si="4"/>
        <v>12.151458301029107</v>
      </c>
    </row>
    <row r="97" spans="1:6" ht="14.1" customHeight="1" x14ac:dyDescent="0.25">
      <c r="A97" s="18">
        <v>2041</v>
      </c>
      <c r="B97" s="19">
        <f t="shared" si="6"/>
        <v>211977.92561069428</v>
      </c>
      <c r="C97" s="19"/>
      <c r="D97" s="19">
        <f t="shared" si="7"/>
        <v>12.264237423754963</v>
      </c>
      <c r="E97" s="19">
        <f t="shared" si="5"/>
        <v>197796.94672532775</v>
      </c>
      <c r="F97" s="19">
        <f t="shared" si="4"/>
        <v>12.194996261880364</v>
      </c>
    </row>
    <row r="98" spans="1:6" ht="14.1" customHeight="1" x14ac:dyDescent="0.25">
      <c r="A98" s="18">
        <v>2042</v>
      </c>
      <c r="B98" s="19">
        <f t="shared" si="6"/>
        <v>221410.86776311148</v>
      </c>
      <c r="C98" s="19"/>
      <c r="D98" s="19">
        <f t="shared" si="7"/>
        <v>12.30777538460622</v>
      </c>
      <c r="E98" s="19">
        <f t="shared" si="5"/>
        <v>206598.84037066606</v>
      </c>
      <c r="F98" s="19">
        <f t="shared" si="4"/>
        <v>12.238534222731623</v>
      </c>
    </row>
    <row r="99" spans="1:6" ht="14.1" customHeight="1" x14ac:dyDescent="0.25">
      <c r="A99" s="18">
        <v>2043</v>
      </c>
      <c r="B99" s="19">
        <f t="shared" si="6"/>
        <v>231263.57247993015</v>
      </c>
      <c r="C99" s="19"/>
      <c r="D99" s="19">
        <f t="shared" si="7"/>
        <v>12.351313345457479</v>
      </c>
      <c r="E99" s="19">
        <f t="shared" si="5"/>
        <v>215792.41514671175</v>
      </c>
      <c r="F99" s="19">
        <f t="shared" si="4"/>
        <v>12.282072183582882</v>
      </c>
    </row>
    <row r="100" spans="1:6" ht="14.1" customHeight="1" x14ac:dyDescent="0.25">
      <c r="A100" s="18">
        <v>2044</v>
      </c>
      <c r="B100" s="19">
        <f t="shared" si="6"/>
        <v>241554.7190456859</v>
      </c>
      <c r="C100" s="19"/>
      <c r="D100" s="19">
        <f t="shared" si="7"/>
        <v>12.394851306308736</v>
      </c>
      <c r="E100" s="19">
        <f t="shared" si="5"/>
        <v>225395.10072420773</v>
      </c>
      <c r="F100" s="19">
        <f t="shared" si="4"/>
        <v>12.325610144434139</v>
      </c>
    </row>
    <row r="101" spans="1:6" ht="14.1" customHeight="1" x14ac:dyDescent="0.25">
      <c r="A101" s="18">
        <v>2045</v>
      </c>
      <c r="B101" s="19">
        <f t="shared" si="6"/>
        <v>252303.81796641988</v>
      </c>
      <c r="C101" s="19"/>
      <c r="D101" s="19">
        <f t="shared" si="7"/>
        <v>12.438389267159994</v>
      </c>
      <c r="E101" s="19">
        <f t="shared" si="5"/>
        <v>235425.10238803399</v>
      </c>
      <c r="F101" s="19">
        <f t="shared" si="4"/>
        <v>12.369148105285397</v>
      </c>
    </row>
    <row r="102" spans="1:6" ht="14.1" customHeight="1" x14ac:dyDescent="0.25">
      <c r="A102" s="18">
        <v>2046</v>
      </c>
      <c r="B102" s="19">
        <f t="shared" si="6"/>
        <v>263531.24795873964</v>
      </c>
      <c r="C102" s="19"/>
      <c r="D102" s="19">
        <f t="shared" si="7"/>
        <v>12.481927228011251</v>
      </c>
      <c r="E102" s="19">
        <f t="shared" si="5"/>
        <v>245901.43555176028</v>
      </c>
      <c r="F102" s="19">
        <f t="shared" si="4"/>
        <v>12.412686066136654</v>
      </c>
    </row>
    <row r="103" spans="1:6" ht="14.1" customHeight="1" x14ac:dyDescent="0.25">
      <c r="A103" s="18">
        <v>2047</v>
      </c>
      <c r="B103" s="19">
        <f t="shared" si="6"/>
        <v>275258.29458487988</v>
      </c>
      <c r="C103" s="19"/>
      <c r="D103" s="19">
        <f t="shared" si="7"/>
        <v>12.52546518886251</v>
      </c>
      <c r="E103" s="19">
        <f t="shared" si="5"/>
        <v>256843.96180808422</v>
      </c>
      <c r="F103" s="19">
        <f t="shared" si="4"/>
        <v>12.456224026987913</v>
      </c>
    </row>
    <row r="104" spans="1:6" ht="14.1" customHeight="1" x14ac:dyDescent="0.25">
      <c r="A104" s="18">
        <v>2048</v>
      </c>
      <c r="B104" s="19">
        <f t="shared" si="6"/>
        <v>287507.1906070098</v>
      </c>
      <c r="C104" s="19"/>
      <c r="D104" s="19">
        <f t="shared" si="7"/>
        <v>12.569003149713767</v>
      </c>
      <c r="E104" s="19">
        <f t="shared" si="5"/>
        <v>268273.42658350081</v>
      </c>
      <c r="F104" s="19">
        <f t="shared" si="4"/>
        <v>12.49976198783917</v>
      </c>
    </row>
    <row r="105" spans="1:6" ht="14.1" customHeight="1" x14ac:dyDescent="0.25">
      <c r="A105" s="18">
        <v>2049</v>
      </c>
      <c r="B105" s="19">
        <f t="shared" si="6"/>
        <v>300301.15813729254</v>
      </c>
      <c r="C105" s="19"/>
      <c r="D105" s="19">
        <f t="shared" si="7"/>
        <v>12.612541110565026</v>
      </c>
      <c r="E105" s="19">
        <f t="shared" si="5"/>
        <v>280211.49846859166</v>
      </c>
      <c r="F105" s="19">
        <f t="shared" si="4"/>
        <v>12.543299948690429</v>
      </c>
    </row>
    <row r="106" spans="1:6" ht="14.1" customHeight="1" x14ac:dyDescent="0.25">
      <c r="A106" s="18">
        <v>2050</v>
      </c>
      <c r="B106" s="19">
        <f t="shared" si="6"/>
        <v>313664.45266360743</v>
      </c>
      <c r="C106" s="19"/>
      <c r="D106" s="19">
        <f t="shared" si="7"/>
        <v>12.656079071416285</v>
      </c>
      <c r="E106" s="19">
        <f t="shared" si="5"/>
        <v>292680.81029849767</v>
      </c>
      <c r="F106" s="19">
        <f t="shared" si="4"/>
        <v>12.586837909541686</v>
      </c>
    </row>
    <row r="108" spans="1:6" x14ac:dyDescent="0.25">
      <c r="A108" s="57" t="s">
        <v>45</v>
      </c>
      <c r="B108" s="49"/>
      <c r="C108" s="49"/>
      <c r="D108" s="49"/>
      <c r="E108" s="49"/>
      <c r="F108" s="49"/>
    </row>
  </sheetData>
  <mergeCells count="5">
    <mergeCell ref="A108:F108"/>
    <mergeCell ref="A1:F1"/>
    <mergeCell ref="A4:F4"/>
    <mergeCell ref="A3:F3"/>
    <mergeCell ref="A2:F2"/>
  </mergeCells>
  <pageMargins left="0.75" right="0.75" top="1" bottom="1" header="0.5" footer="0.5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76"/>
  <sheetViews>
    <sheetView showGridLines="0" workbookViewId="0">
      <selection activeCell="G81" sqref="G81"/>
    </sheetView>
  </sheetViews>
  <sheetFormatPr baseColWidth="10" defaultColWidth="9.140625" defaultRowHeight="15" x14ac:dyDescent="0.25"/>
  <cols>
    <col min="2" max="2" width="8" customWidth="1"/>
    <col min="3" max="4" width="16" customWidth="1"/>
    <col min="5" max="5" width="12" customWidth="1"/>
    <col min="6" max="7" width="10" customWidth="1"/>
    <col min="8" max="8" width="16" customWidth="1"/>
  </cols>
  <sheetData>
    <row r="1" spans="2:8" ht="6" customHeight="1" x14ac:dyDescent="0.25"/>
    <row r="2" spans="2:8" ht="21.95" customHeight="1" x14ac:dyDescent="0.25">
      <c r="B2" s="4" t="s">
        <v>41</v>
      </c>
      <c r="C2" s="4" t="s">
        <v>67</v>
      </c>
      <c r="D2" s="4" t="s">
        <v>68</v>
      </c>
      <c r="E2" s="4" t="s">
        <v>69</v>
      </c>
      <c r="F2" s="4" t="s">
        <v>2</v>
      </c>
      <c r="G2" s="4" t="s">
        <v>70</v>
      </c>
      <c r="H2" s="4" t="s">
        <v>71</v>
      </c>
    </row>
    <row r="3" spans="2:8" ht="14.1" customHeight="1" x14ac:dyDescent="0.25">
      <c r="B3" s="13">
        <v>1951</v>
      </c>
      <c r="C3" s="14">
        <v>5267.135825071352</v>
      </c>
      <c r="D3" s="14">
        <v>16807.807136848842</v>
      </c>
      <c r="E3" s="20">
        <v>3.191071522561534</v>
      </c>
      <c r="F3" s="24">
        <v>0.746274173259735</v>
      </c>
      <c r="G3" s="24">
        <v>7.9511168880537705E-2</v>
      </c>
      <c r="H3" s="14">
        <v>3930.7274333018549</v>
      </c>
    </row>
    <row r="4" spans="2:8" ht="14.1" customHeight="1" x14ac:dyDescent="0.25">
      <c r="B4" s="1">
        <v>1952</v>
      </c>
      <c r="C4" s="15">
        <v>6009.5031220936407</v>
      </c>
      <c r="D4" s="15">
        <v>16895.355385133451</v>
      </c>
      <c r="E4" s="21">
        <v>2.8114396551386278</v>
      </c>
      <c r="F4" s="25">
        <v>0.746274173259735</v>
      </c>
      <c r="G4" s="25">
        <v>9.0247651688527594E-2</v>
      </c>
      <c r="H4" s="15">
        <v>4484.7369741422281</v>
      </c>
    </row>
    <row r="5" spans="2:8" ht="14.1" customHeight="1" x14ac:dyDescent="0.25">
      <c r="B5" s="13">
        <v>1953</v>
      </c>
      <c r="C5" s="14">
        <v>6465.451371625205</v>
      </c>
      <c r="D5" s="14">
        <v>17290.855064754571</v>
      </c>
      <c r="E5" s="20">
        <v>2.6743461625337721</v>
      </c>
      <c r="F5" s="24">
        <v>0.746274173259735</v>
      </c>
      <c r="G5" s="24">
        <v>9.4873965941595195E-2</v>
      </c>
      <c r="H5" s="14">
        <v>4824.9993771106192</v>
      </c>
    </row>
    <row r="6" spans="2:8" ht="14.1" customHeight="1" x14ac:dyDescent="0.25">
      <c r="B6" s="1">
        <v>1954</v>
      </c>
      <c r="C6" s="15">
        <v>6781.2428678294082</v>
      </c>
      <c r="D6" s="15">
        <v>17672.28223014059</v>
      </c>
      <c r="E6" s="21">
        <v>2.606053576694455</v>
      </c>
      <c r="F6" s="25">
        <v>0.746274173259735</v>
      </c>
      <c r="G6" s="25">
        <v>9.7360172871846104E-2</v>
      </c>
      <c r="H6" s="15">
        <v>5060.6664148628661</v>
      </c>
    </row>
    <row r="7" spans="2:8" ht="14.1" customHeight="1" x14ac:dyDescent="0.25">
      <c r="B7" s="13">
        <v>1955</v>
      </c>
      <c r="C7" s="14">
        <v>7101.6132411083927</v>
      </c>
      <c r="D7" s="14">
        <v>17780.630166595329</v>
      </c>
      <c r="E7" s="20">
        <v>2.503745214350789</v>
      </c>
      <c r="F7" s="24">
        <v>0.746274173259735</v>
      </c>
      <c r="G7" s="24">
        <v>0.10133851690897989</v>
      </c>
      <c r="H7" s="14">
        <v>5299.750550318553</v>
      </c>
    </row>
    <row r="8" spans="2:8" ht="14.1" customHeight="1" x14ac:dyDescent="0.25">
      <c r="B8" s="1">
        <v>1956</v>
      </c>
      <c r="C8" s="15">
        <v>7349.7409859416766</v>
      </c>
      <c r="D8" s="15">
        <v>18087.594478651721</v>
      </c>
      <c r="E8" s="21">
        <v>2.4609839330731549</v>
      </c>
      <c r="F8" s="25">
        <v>0.746274173259735</v>
      </c>
      <c r="G8" s="25">
        <v>0.1030993430434244</v>
      </c>
      <c r="H8" s="15">
        <v>5484.9218779568137</v>
      </c>
    </row>
    <row r="9" spans="2:8" ht="14.1" customHeight="1" x14ac:dyDescent="0.25">
      <c r="B9" s="13">
        <v>1957</v>
      </c>
      <c r="C9" s="14">
        <v>7803.9798068356213</v>
      </c>
      <c r="D9" s="14">
        <v>18367.875755350891</v>
      </c>
      <c r="E9" s="20">
        <v>2.353654956828847</v>
      </c>
      <c r="F9" s="24">
        <v>0.746274173259735</v>
      </c>
      <c r="G9" s="24">
        <v>0.1078007742826152</v>
      </c>
      <c r="H9" s="14">
        <v>5823.908578481919</v>
      </c>
    </row>
    <row r="10" spans="2:8" ht="14.1" customHeight="1" x14ac:dyDescent="0.25">
      <c r="B10" s="1">
        <v>1958</v>
      </c>
      <c r="C10" s="15">
        <v>8135.9574820124699</v>
      </c>
      <c r="D10" s="15">
        <v>18818.057435391871</v>
      </c>
      <c r="E10" s="21">
        <v>2.3129493334983771</v>
      </c>
      <c r="F10" s="25">
        <v>0.746274173259735</v>
      </c>
      <c r="G10" s="25">
        <v>0.1096979614147017</v>
      </c>
      <c r="H10" s="15">
        <v>6071.6549435652114</v>
      </c>
    </row>
    <row r="11" spans="2:8" ht="14.1" customHeight="1" x14ac:dyDescent="0.25">
      <c r="B11" s="13">
        <v>1959</v>
      </c>
      <c r="C11" s="14">
        <v>8487.8080509216852</v>
      </c>
      <c r="D11" s="14">
        <v>19494.236417636581</v>
      </c>
      <c r="E11" s="20">
        <v>2.2967338917990401</v>
      </c>
      <c r="F11" s="24">
        <v>0.746274173259735</v>
      </c>
      <c r="G11" s="24">
        <v>0.1104724529237998</v>
      </c>
      <c r="H11" s="14">
        <v>6334.2319359889034</v>
      </c>
    </row>
    <row r="12" spans="2:8" ht="14.1" customHeight="1" x14ac:dyDescent="0.25">
      <c r="B12" s="1">
        <v>1960</v>
      </c>
      <c r="C12" s="15">
        <v>8912.3843028477968</v>
      </c>
      <c r="D12" s="15">
        <v>20413.597817349651</v>
      </c>
      <c r="E12" s="21">
        <v>2.290475491595088</v>
      </c>
      <c r="F12" s="25">
        <v>0.746274173259735</v>
      </c>
      <c r="G12" s="25">
        <v>0.11077430327078951</v>
      </c>
      <c r="H12" s="15">
        <v>6651.0822273807798</v>
      </c>
    </row>
    <row r="13" spans="2:8" ht="14.1" customHeight="1" x14ac:dyDescent="0.25">
      <c r="B13" s="13">
        <v>1961</v>
      </c>
      <c r="C13" s="14">
        <v>9394.3890660339075</v>
      </c>
      <c r="D13" s="14">
        <v>21169.165029816781</v>
      </c>
      <c r="E13" s="20">
        <v>2.253383895537755</v>
      </c>
      <c r="F13" s="24">
        <v>0.746274173259735</v>
      </c>
      <c r="G13" s="24">
        <v>0.1125976924050551</v>
      </c>
      <c r="H13" s="14">
        <v>7010.7899335347483</v>
      </c>
    </row>
    <row r="14" spans="2:8" ht="14.1" customHeight="1" x14ac:dyDescent="0.25">
      <c r="B14" s="1">
        <v>1962</v>
      </c>
      <c r="C14" s="15">
        <v>9889.8925131145916</v>
      </c>
      <c r="D14" s="15">
        <v>21878.54158601772</v>
      </c>
      <c r="E14" s="21">
        <v>2.2122122719741859</v>
      </c>
      <c r="F14" s="25">
        <v>0.746274173259735</v>
      </c>
      <c r="G14" s="25">
        <v>0.114693255233522</v>
      </c>
      <c r="H14" s="15">
        <v>7380.5713588522358</v>
      </c>
    </row>
    <row r="15" spans="2:8" ht="14.1" customHeight="1" x14ac:dyDescent="0.25">
      <c r="B15" s="13">
        <v>1963</v>
      </c>
      <c r="C15" s="14">
        <v>10782.33790356916</v>
      </c>
      <c r="D15" s="14">
        <v>22840.42433145125</v>
      </c>
      <c r="E15" s="20">
        <v>2.118318358756929</v>
      </c>
      <c r="F15" s="24">
        <v>0.746274173259735</v>
      </c>
      <c r="G15" s="24">
        <v>0.1197770040992121</v>
      </c>
      <c r="H15" s="14">
        <v>8046.5803047931786</v>
      </c>
    </row>
    <row r="16" spans="2:8" ht="14.1" customHeight="1" x14ac:dyDescent="0.25">
      <c r="B16" s="1">
        <v>1964</v>
      </c>
      <c r="C16" s="15">
        <v>12201.10787753281</v>
      </c>
      <c r="D16" s="15">
        <v>24400.27615070614</v>
      </c>
      <c r="E16" s="21">
        <v>1.999841030472072</v>
      </c>
      <c r="F16" s="25">
        <v>0.746274173259735</v>
      </c>
      <c r="G16" s="25">
        <v>0.12687299784041919</v>
      </c>
      <c r="H16" s="15">
        <v>9105.3716941586408</v>
      </c>
    </row>
    <row r="17" spans="2:8" ht="14.1" customHeight="1" x14ac:dyDescent="0.25">
      <c r="B17" s="13">
        <v>1965</v>
      </c>
      <c r="C17" s="14">
        <v>13310.59687711386</v>
      </c>
      <c r="D17" s="14">
        <v>26805.781685249211</v>
      </c>
      <c r="E17" s="20">
        <v>2.0138677425757581</v>
      </c>
      <c r="F17" s="24">
        <v>0.746274173259735</v>
      </c>
      <c r="G17" s="24">
        <v>0.12598931964407309</v>
      </c>
      <c r="H17" s="14">
        <v>9933.3546800617514</v>
      </c>
    </row>
    <row r="18" spans="2:8" ht="14.1" customHeight="1" x14ac:dyDescent="0.25">
      <c r="B18" s="1">
        <v>1966</v>
      </c>
      <c r="C18" s="15">
        <v>14225.57418855578</v>
      </c>
      <c r="D18" s="15">
        <v>29313.647209631199</v>
      </c>
      <c r="E18" s="21">
        <v>2.060630159534333</v>
      </c>
      <c r="F18" s="25">
        <v>0.746274173259735</v>
      </c>
      <c r="G18" s="25">
        <v>0.12313021119597831</v>
      </c>
      <c r="H18" s="15">
        <v>10616.178616709491</v>
      </c>
    </row>
    <row r="19" spans="2:8" ht="14.1" customHeight="1" x14ac:dyDescent="0.25">
      <c r="B19" s="13">
        <v>1967</v>
      </c>
      <c r="C19" s="14">
        <v>15182.27896404793</v>
      </c>
      <c r="D19" s="14">
        <v>31616.03381239844</v>
      </c>
      <c r="E19" s="20">
        <v>2.0824300414493839</v>
      </c>
      <c r="F19" s="24">
        <v>0.746274173259735</v>
      </c>
      <c r="G19" s="24">
        <v>0.1218412247662688</v>
      </c>
      <c r="H19" s="14">
        <v>11330.14268209353</v>
      </c>
    </row>
    <row r="20" spans="2:8" ht="14.1" customHeight="1" x14ac:dyDescent="0.25">
      <c r="B20" s="1">
        <v>1968</v>
      </c>
      <c r="C20" s="15">
        <v>16166.84526942668</v>
      </c>
      <c r="D20" s="15">
        <v>34614.153186857169</v>
      </c>
      <c r="E20" s="21">
        <v>2.141057986886064</v>
      </c>
      <c r="F20" s="25">
        <v>0.746274173259735</v>
      </c>
      <c r="G20" s="25">
        <v>0.1185048832373202</v>
      </c>
      <c r="H20" s="15">
        <v>12064.899087659451</v>
      </c>
    </row>
    <row r="21" spans="2:8" ht="14.1" customHeight="1" x14ac:dyDescent="0.25">
      <c r="B21" s="13">
        <v>1969</v>
      </c>
      <c r="C21" s="14">
        <v>17358.891303093558</v>
      </c>
      <c r="D21" s="14">
        <v>37871.884715505119</v>
      </c>
      <c r="E21" s="20">
        <v>2.1816995137676729</v>
      </c>
      <c r="F21" s="24">
        <v>0.746274173259735</v>
      </c>
      <c r="G21" s="24">
        <v>0.1162973292789045</v>
      </c>
      <c r="H21" s="14">
        <v>12954.49225592175</v>
      </c>
    </row>
    <row r="22" spans="2:8" ht="14.1" customHeight="1" x14ac:dyDescent="0.25">
      <c r="B22" s="1">
        <v>1970</v>
      </c>
      <c r="C22" s="15">
        <v>18991.90085982345</v>
      </c>
      <c r="D22" s="15">
        <v>41475.920522177352</v>
      </c>
      <c r="E22" s="21">
        <v>2.1838741065628602</v>
      </c>
      <c r="F22" s="25">
        <v>0.746274173259735</v>
      </c>
      <c r="G22" s="25">
        <v>0.1161815262050966</v>
      </c>
      <c r="H22" s="15">
        <v>14173.16511279559</v>
      </c>
    </row>
    <row r="23" spans="2:8" ht="14.1" customHeight="1" x14ac:dyDescent="0.25">
      <c r="B23" s="13">
        <v>1971</v>
      </c>
      <c r="C23" s="14">
        <v>20981.26970690798</v>
      </c>
      <c r="D23" s="14">
        <v>46267.574860937697</v>
      </c>
      <c r="E23" s="20">
        <v>2.2051846960293511</v>
      </c>
      <c r="F23" s="24">
        <v>0.746274173259735</v>
      </c>
      <c r="G23" s="24">
        <v>0.1150587645547889</v>
      </c>
      <c r="H23" s="14">
        <v>15657.77970446228</v>
      </c>
    </row>
    <row r="24" spans="2:8" ht="14.1" customHeight="1" x14ac:dyDescent="0.25">
      <c r="B24" s="1">
        <v>1972</v>
      </c>
      <c r="C24" s="15">
        <v>23217.821554585851</v>
      </c>
      <c r="D24" s="15">
        <v>51207.521555412197</v>
      </c>
      <c r="E24" s="21">
        <v>2.2055265363730032</v>
      </c>
      <c r="F24" s="25">
        <v>0.746274173259735</v>
      </c>
      <c r="G24" s="25">
        <v>0.1150409312950358</v>
      </c>
      <c r="H24" s="15">
        <v>17326.860585540609</v>
      </c>
    </row>
    <row r="25" spans="2:8" ht="14.1" customHeight="1" x14ac:dyDescent="0.25">
      <c r="B25" s="13">
        <v>1973</v>
      </c>
      <c r="C25" s="14">
        <v>24298.0492537428</v>
      </c>
      <c r="D25" s="14">
        <v>54557.79995576806</v>
      </c>
      <c r="E25" s="20">
        <v>2.245357204853148</v>
      </c>
      <c r="F25" s="24">
        <v>0.746274173259735</v>
      </c>
      <c r="G25" s="24">
        <v>0.1130002060214999</v>
      </c>
      <c r="H25" s="14">
        <v>18133.006618661231</v>
      </c>
    </row>
    <row r="26" spans="2:8" ht="14.1" customHeight="1" x14ac:dyDescent="0.25">
      <c r="B26" s="1">
        <v>1974</v>
      </c>
      <c r="C26" s="15">
        <v>23001.782970094438</v>
      </c>
      <c r="D26" s="15">
        <v>60493.514333727042</v>
      </c>
      <c r="E26" s="21">
        <v>2.6299489223238539</v>
      </c>
      <c r="F26" s="25">
        <v>0.746274173259735</v>
      </c>
      <c r="G26" s="25">
        <v>9.6475572048779504E-2</v>
      </c>
      <c r="H26" s="15">
        <v>17165.636569507082</v>
      </c>
    </row>
    <row r="27" spans="2:8" ht="14.1" customHeight="1" x14ac:dyDescent="0.25">
      <c r="B27" s="13">
        <v>1975</v>
      </c>
      <c r="C27" s="14">
        <v>23609.365862555798</v>
      </c>
      <c r="D27" s="14">
        <v>68882.430744636396</v>
      </c>
      <c r="E27" s="20">
        <v>2.9175891951373072</v>
      </c>
      <c r="F27" s="24">
        <v>0.746274173259735</v>
      </c>
      <c r="G27" s="24">
        <v>8.6964205640446296E-2</v>
      </c>
      <c r="H27" s="14">
        <v>17619.059990265439</v>
      </c>
    </row>
    <row r="28" spans="2:8" ht="14.1" customHeight="1" x14ac:dyDescent="0.25">
      <c r="B28" s="1">
        <v>1976</v>
      </c>
      <c r="C28" s="15">
        <v>27252.078716522101</v>
      </c>
      <c r="D28" s="15">
        <v>75397.391651966682</v>
      </c>
      <c r="E28" s="21">
        <v>2.76666570782564</v>
      </c>
      <c r="F28" s="25">
        <v>0.746274173259735</v>
      </c>
      <c r="G28" s="25">
        <v>9.1708161930293894E-2</v>
      </c>
      <c r="H28" s="15">
        <v>20337.522513781751</v>
      </c>
    </row>
    <row r="29" spans="2:8" ht="14.1" customHeight="1" x14ac:dyDescent="0.25">
      <c r="B29" s="13">
        <v>1977</v>
      </c>
      <c r="C29" s="14">
        <v>28366.019443062469</v>
      </c>
      <c r="D29" s="14">
        <v>79119.396336426304</v>
      </c>
      <c r="E29" s="20">
        <v>2.7892315485166419</v>
      </c>
      <c r="F29" s="24">
        <v>0.746274173259735</v>
      </c>
      <c r="G29" s="24">
        <v>9.0966211419485896E-2</v>
      </c>
      <c r="H29" s="14">
        <v>21168.827708541012</v>
      </c>
    </row>
    <row r="30" spans="2:8" ht="14.1" customHeight="1" x14ac:dyDescent="0.25">
      <c r="B30" s="1">
        <v>1978</v>
      </c>
      <c r="C30" s="15">
        <v>30746.208513956601</v>
      </c>
      <c r="D30" s="15">
        <v>84264.665644645662</v>
      </c>
      <c r="E30" s="21">
        <v>2.7406522533142739</v>
      </c>
      <c r="F30" s="25">
        <v>0.746274173259735</v>
      </c>
      <c r="G30" s="25">
        <v>9.25786284755514E-2</v>
      </c>
      <c r="H30" s="15">
        <v>22945.10133962438</v>
      </c>
    </row>
    <row r="31" spans="2:8" ht="14.1" customHeight="1" x14ac:dyDescent="0.25">
      <c r="B31" s="13">
        <v>1979</v>
      </c>
      <c r="C31" s="14">
        <v>31912.653960652609</v>
      </c>
      <c r="D31" s="14">
        <v>91008.318815450795</v>
      </c>
      <c r="E31" s="20">
        <v>2.851794116768271</v>
      </c>
      <c r="F31" s="24">
        <v>0.746274173259735</v>
      </c>
      <c r="G31" s="24">
        <v>8.8970597578689706E-2</v>
      </c>
      <c r="H31" s="14">
        <v>23815.589451010041</v>
      </c>
    </row>
    <row r="32" spans="2:8" ht="14.1" customHeight="1" x14ac:dyDescent="0.25">
      <c r="B32" s="1">
        <v>1980</v>
      </c>
      <c r="C32" s="15">
        <v>32895.016339853442</v>
      </c>
      <c r="D32" s="15">
        <v>100273.7046535907</v>
      </c>
      <c r="E32" s="21">
        <v>3.0482947209272462</v>
      </c>
      <c r="F32" s="25">
        <v>0.746274173259735</v>
      </c>
      <c r="G32" s="25">
        <v>8.3235333184281196E-2</v>
      </c>
      <c r="H32" s="15">
        <v>24548.701123389601</v>
      </c>
    </row>
    <row r="33" spans="2:8" ht="14.1" customHeight="1" x14ac:dyDescent="0.25">
      <c r="B33" s="13">
        <v>1981</v>
      </c>
      <c r="C33" s="14">
        <v>34507.52806995326</v>
      </c>
      <c r="D33" s="14">
        <v>109117.2622151321</v>
      </c>
      <c r="E33" s="20">
        <v>3.162129202472308</v>
      </c>
      <c r="F33" s="24">
        <v>0.746274173259735</v>
      </c>
      <c r="G33" s="24">
        <v>8.0238918302860396E-2</v>
      </c>
      <c r="H33" s="14">
        <v>25752.076981641469</v>
      </c>
    </row>
    <row r="34" spans="2:8" ht="14.1" customHeight="1" x14ac:dyDescent="0.25">
      <c r="B34" s="1">
        <v>1982</v>
      </c>
      <c r="C34" s="15">
        <v>35366.171296567903</v>
      </c>
      <c r="D34" s="15">
        <v>116327.57371287519</v>
      </c>
      <c r="E34" s="21">
        <v>3.2892328869131569</v>
      </c>
      <c r="F34" s="25">
        <v>0.746274173259735</v>
      </c>
      <c r="G34" s="25">
        <v>7.7138298035922495E-2</v>
      </c>
      <c r="H34" s="15">
        <v>26392.86024570838</v>
      </c>
    </row>
    <row r="35" spans="2:8" ht="14.1" customHeight="1" x14ac:dyDescent="0.25">
      <c r="B35" s="13">
        <v>1983</v>
      </c>
      <c r="C35" s="14">
        <v>36959.555090063172</v>
      </c>
      <c r="D35" s="14">
        <v>120596.08462402641</v>
      </c>
      <c r="E35" s="20">
        <v>3.262920355241222</v>
      </c>
      <c r="F35" s="24">
        <v>0.746274173259735</v>
      </c>
      <c r="G35" s="24">
        <v>7.7760349354744601E-2</v>
      </c>
      <c r="H35" s="14">
        <v>27581.96141888453</v>
      </c>
    </row>
    <row r="36" spans="2:8" ht="14.1" customHeight="1" x14ac:dyDescent="0.25">
      <c r="B36" s="1">
        <v>1984</v>
      </c>
      <c r="C36" s="15">
        <v>39053.041436053078</v>
      </c>
      <c r="D36" s="15">
        <v>125683.5365992</v>
      </c>
      <c r="E36" s="21">
        <v>3.2182778082726009</v>
      </c>
      <c r="F36" s="25">
        <v>0.746274173259735</v>
      </c>
      <c r="G36" s="25">
        <v>7.8839007026696495E-2</v>
      </c>
      <c r="H36" s="15">
        <v>29144.276210968688</v>
      </c>
    </row>
    <row r="37" spans="2:8" ht="14.1" customHeight="1" x14ac:dyDescent="0.25">
      <c r="B37" s="13">
        <v>1985</v>
      </c>
      <c r="C37" s="14">
        <v>40170.72869542116</v>
      </c>
      <c r="D37" s="14">
        <v>131215.19830977399</v>
      </c>
      <c r="E37" s="20">
        <v>3.2664380899002849</v>
      </c>
      <c r="F37" s="24">
        <v>0.746274173259735</v>
      </c>
      <c r="G37" s="24">
        <v>7.7676606675870105E-2</v>
      </c>
      <c r="H37" s="14">
        <v>29978.377346416539</v>
      </c>
    </row>
    <row r="38" spans="2:8" ht="14.1" customHeight="1" x14ac:dyDescent="0.25">
      <c r="B38" s="1">
        <v>1986</v>
      </c>
      <c r="C38" s="15">
        <v>43814.990435102278</v>
      </c>
      <c r="D38" s="15">
        <v>134435.76914221581</v>
      </c>
      <c r="E38" s="21">
        <v>3.068259693936001</v>
      </c>
      <c r="F38" s="25">
        <v>0.746274173259735</v>
      </c>
      <c r="G38" s="25">
        <v>8.2693726102037401E-2</v>
      </c>
      <c r="H38" s="15">
        <v>32697.99576333915</v>
      </c>
    </row>
    <row r="39" spans="2:8" ht="14.1" customHeight="1" x14ac:dyDescent="0.25">
      <c r="B39" s="13">
        <v>1987</v>
      </c>
      <c r="C39" s="14">
        <v>46936.882449988567</v>
      </c>
      <c r="D39" s="14">
        <v>141205.494624857</v>
      </c>
      <c r="E39" s="20">
        <v>3.0084123029541212</v>
      </c>
      <c r="F39" s="24">
        <v>0.746274173259735</v>
      </c>
      <c r="G39" s="24">
        <v>8.4338781120898196E-2</v>
      </c>
      <c r="H39" s="14">
        <v>35027.783145754584</v>
      </c>
    </row>
    <row r="40" spans="2:8" ht="14.1" customHeight="1" x14ac:dyDescent="0.25">
      <c r="B40" s="1">
        <v>1988</v>
      </c>
      <c r="C40" s="15">
        <v>49016.23890035339</v>
      </c>
      <c r="D40" s="15">
        <v>152556.4473496429</v>
      </c>
      <c r="E40" s="21">
        <v>3.1123654277061021</v>
      </c>
      <c r="F40" s="25">
        <v>0.746274173259735</v>
      </c>
      <c r="G40" s="25">
        <v>8.1521862594158098E-2</v>
      </c>
      <c r="H40" s="15">
        <v>36579.553161662887</v>
      </c>
    </row>
    <row r="41" spans="2:8" ht="14.1" customHeight="1" x14ac:dyDescent="0.25">
      <c r="B41" s="13">
        <v>1989</v>
      </c>
      <c r="C41" s="14">
        <v>52517.624875427893</v>
      </c>
      <c r="D41" s="14">
        <v>164466.61305221601</v>
      </c>
      <c r="E41" s="20">
        <v>3.13164606058122</v>
      </c>
      <c r="F41" s="24">
        <v>0.746274173259735</v>
      </c>
      <c r="G41" s="24">
        <v>8.1019956224929995E-2</v>
      </c>
      <c r="H41" s="14">
        <v>39192.547085474842</v>
      </c>
    </row>
    <row r="42" spans="2:8" ht="14.1" customHeight="1" x14ac:dyDescent="0.25">
      <c r="B42" s="1">
        <v>1990</v>
      </c>
      <c r="C42" s="15">
        <v>55392.365930593798</v>
      </c>
      <c r="D42" s="15">
        <v>179853.30273510999</v>
      </c>
      <c r="E42" s="21">
        <v>3.246896927285337</v>
      </c>
      <c r="F42" s="25">
        <v>0.746274173259735</v>
      </c>
      <c r="G42" s="25">
        <v>7.81440964781102E-2</v>
      </c>
      <c r="H42" s="15">
        <v>41337.892089754598</v>
      </c>
    </row>
    <row r="43" spans="2:8" ht="14.1" customHeight="1" x14ac:dyDescent="0.25">
      <c r="B43" s="13">
        <v>1991</v>
      </c>
      <c r="C43" s="14">
        <v>59276.46445417824</v>
      </c>
      <c r="D43" s="14">
        <v>194423.3897501629</v>
      </c>
      <c r="E43" s="20">
        <v>3.2799424112154272</v>
      </c>
      <c r="F43" s="24">
        <v>0.746274173259735</v>
      </c>
      <c r="G43" s="24">
        <v>7.73567931780373E-2</v>
      </c>
      <c r="H43" s="14">
        <v>44236.494504301932</v>
      </c>
    </row>
    <row r="44" spans="2:8" ht="14.1" customHeight="1" x14ac:dyDescent="0.25">
      <c r="B44" s="1">
        <v>1992</v>
      </c>
      <c r="C44" s="15">
        <v>61878.651464298237</v>
      </c>
      <c r="D44" s="15">
        <v>208574.33398667749</v>
      </c>
      <c r="E44" s="21">
        <v>3.3706994100706522</v>
      </c>
      <c r="F44" s="25">
        <v>0.746274173259735</v>
      </c>
      <c r="G44" s="25">
        <v>7.5273940471288298E-2</v>
      </c>
      <c r="H44" s="15">
        <v>46178.439463946474</v>
      </c>
    </row>
    <row r="45" spans="2:8" ht="14.1" customHeight="1" x14ac:dyDescent="0.25">
      <c r="B45" s="13">
        <v>1993</v>
      </c>
      <c r="C45" s="14">
        <v>65238.468914413163</v>
      </c>
      <c r="D45" s="14">
        <v>226050.3550999994</v>
      </c>
      <c r="E45" s="20">
        <v>3.464985596099083</v>
      </c>
      <c r="F45" s="24">
        <v>0.746274173259735</v>
      </c>
      <c r="G45" s="24">
        <v>7.3225651219419804E-2</v>
      </c>
      <c r="H45" s="14">
        <v>48685.784453834603</v>
      </c>
    </row>
    <row r="46" spans="2:8" ht="14.1" customHeight="1" x14ac:dyDescent="0.25">
      <c r="B46" s="1">
        <v>1994</v>
      </c>
      <c r="C46" s="15">
        <v>68210.602477422304</v>
      </c>
      <c r="D46" s="15">
        <v>242246.19129521359</v>
      </c>
      <c r="E46" s="21">
        <v>3.5514448267099978</v>
      </c>
      <c r="F46" s="25">
        <v>0.746274173259735</v>
      </c>
      <c r="G46" s="25">
        <v>7.1442987043476694E-2</v>
      </c>
      <c r="H46" s="15">
        <v>50903.81097138676</v>
      </c>
    </row>
    <row r="47" spans="2:8" ht="14.1" customHeight="1" x14ac:dyDescent="0.25">
      <c r="B47" s="13">
        <v>1995</v>
      </c>
      <c r="C47" s="14">
        <v>71370.935468673342</v>
      </c>
      <c r="D47" s="14">
        <v>261733.5049980914</v>
      </c>
      <c r="E47" s="20">
        <v>3.6672281689928732</v>
      </c>
      <c r="F47" s="24">
        <v>0.746274173259735</v>
      </c>
      <c r="G47" s="24">
        <v>6.9187357603098201E-2</v>
      </c>
      <c r="H47" s="14">
        <v>53262.285861658092</v>
      </c>
    </row>
    <row r="48" spans="2:8" ht="14.1" customHeight="1" x14ac:dyDescent="0.25">
      <c r="B48" s="1">
        <v>1996</v>
      </c>
      <c r="C48" s="15">
        <v>77459.988355771944</v>
      </c>
      <c r="D48" s="15">
        <v>285912.37566416862</v>
      </c>
      <c r="E48" s="21">
        <v>3.691097581256785</v>
      </c>
      <c r="F48" s="25">
        <v>0.746274173259735</v>
      </c>
      <c r="G48" s="25">
        <v>6.8739940127476501E-2</v>
      </c>
      <c r="H48" s="15">
        <v>57806.388770912403</v>
      </c>
    </row>
    <row r="49" spans="2:8" ht="14.1" customHeight="1" x14ac:dyDescent="0.25">
      <c r="B49" s="13">
        <v>1997</v>
      </c>
      <c r="C49" s="14">
        <v>81643.197717289877</v>
      </c>
      <c r="D49" s="14">
        <v>305533.19501577178</v>
      </c>
      <c r="E49" s="20">
        <v>3.7422982386574</v>
      </c>
      <c r="F49" s="24">
        <v>0.746274173259735</v>
      </c>
      <c r="G49" s="24">
        <v>6.7799467214909204E-2</v>
      </c>
      <c r="H49" s="14">
        <v>60928.209878751579</v>
      </c>
    </row>
    <row r="50" spans="2:8" ht="14.1" customHeight="1" x14ac:dyDescent="0.25">
      <c r="B50" s="1">
        <v>1998</v>
      </c>
      <c r="C50" s="15">
        <v>85883.793714392668</v>
      </c>
      <c r="D50" s="15">
        <v>328362.58344243438</v>
      </c>
      <c r="E50" s="21">
        <v>3.8233358034276779</v>
      </c>
      <c r="F50" s="25">
        <v>0.746274173259735</v>
      </c>
      <c r="G50" s="25">
        <v>6.6362422707625102E-2</v>
      </c>
      <c r="H50" s="15">
        <v>64092.857150618023</v>
      </c>
    </row>
    <row r="51" spans="2:8" ht="14.1" customHeight="1" x14ac:dyDescent="0.25">
      <c r="B51" s="13">
        <v>1999</v>
      </c>
      <c r="C51" s="14">
        <v>89188.639219773482</v>
      </c>
      <c r="D51" s="14">
        <v>350628.35541712382</v>
      </c>
      <c r="E51" s="20">
        <v>3.9313118630852268</v>
      </c>
      <c r="F51" s="24">
        <v>0.746274173259735</v>
      </c>
      <c r="G51" s="24">
        <v>6.4539735227503697E-2</v>
      </c>
      <c r="H51" s="14">
        <v>66559.177997897234</v>
      </c>
    </row>
    <row r="52" spans="2:8" ht="14.1" customHeight="1" x14ac:dyDescent="0.25">
      <c r="B52" s="1">
        <v>2000</v>
      </c>
      <c r="C52" s="15">
        <v>91597.700103836323</v>
      </c>
      <c r="D52" s="15">
        <v>369439.99942379817</v>
      </c>
      <c r="E52" s="21">
        <v>4.0332890346045396</v>
      </c>
      <c r="F52" s="25">
        <v>0.746274173259735</v>
      </c>
      <c r="G52" s="25">
        <v>6.2907920697813896E-2</v>
      </c>
      <c r="H52" s="15">
        <v>68356.99791748359</v>
      </c>
    </row>
    <row r="53" spans="2:8" ht="14.1" customHeight="1" x14ac:dyDescent="0.25">
      <c r="B53" s="13">
        <v>2001</v>
      </c>
      <c r="C53" s="14">
        <v>92364.995794800954</v>
      </c>
      <c r="D53" s="14">
        <v>392173.0215229867</v>
      </c>
      <c r="E53" s="20">
        <v>4.245905260411015</v>
      </c>
      <c r="F53" s="24">
        <v>0.746274173259735</v>
      </c>
      <c r="G53" s="24">
        <v>5.9757769233810799E-2</v>
      </c>
      <c r="H53" s="14">
        <v>68929.610874903985</v>
      </c>
    </row>
    <row r="54" spans="2:8" ht="14.1" customHeight="1" x14ac:dyDescent="0.25">
      <c r="B54" s="1">
        <v>2002</v>
      </c>
      <c r="C54" s="15">
        <v>95776.150082617882</v>
      </c>
      <c r="D54" s="15">
        <v>402326.32075046992</v>
      </c>
      <c r="E54" s="21">
        <v>4.2006942271475456</v>
      </c>
      <c r="F54" s="25">
        <v>0.746274173259735</v>
      </c>
      <c r="G54" s="25">
        <v>6.0400927327803999E-2</v>
      </c>
      <c r="H54" s="15">
        <v>71475.267220905953</v>
      </c>
    </row>
    <row r="55" spans="2:8" ht="14.1" customHeight="1" x14ac:dyDescent="0.25">
      <c r="B55" s="13">
        <v>2003</v>
      </c>
      <c r="C55" s="14">
        <v>96633.742233618701</v>
      </c>
      <c r="D55" s="14">
        <v>409811.92614950048</v>
      </c>
      <c r="E55" s="20">
        <v>4.2408781516372622</v>
      </c>
      <c r="F55" s="24">
        <v>0.746274173259735</v>
      </c>
      <c r="G55" s="24">
        <v>5.9828605696277702E-2</v>
      </c>
      <c r="H55" s="14">
        <v>72115.266094388135</v>
      </c>
    </row>
    <row r="56" spans="2:8" ht="14.1" customHeight="1" x14ac:dyDescent="0.25">
      <c r="B56" s="1">
        <v>2004</v>
      </c>
      <c r="C56" s="15">
        <v>97823.421900319081</v>
      </c>
      <c r="D56" s="15">
        <v>416651.37090493809</v>
      </c>
      <c r="E56" s="21">
        <v>4.2592189356195389</v>
      </c>
      <c r="F56" s="25">
        <v>0.746274173259735</v>
      </c>
      <c r="G56" s="25">
        <v>5.9570975471200598E-2</v>
      </c>
      <c r="H56" s="15">
        <v>73003.093304098875</v>
      </c>
    </row>
    <row r="57" spans="2:8" ht="14.1" customHeight="1" x14ac:dyDescent="0.25">
      <c r="B57" s="13">
        <v>2005</v>
      </c>
      <c r="C57" s="14">
        <v>99079.242007233901</v>
      </c>
      <c r="D57" s="14">
        <v>424390.3132440793</v>
      </c>
      <c r="E57" s="20">
        <v>4.2833423494811758</v>
      </c>
      <c r="F57" s="24">
        <v>0.746274173259735</v>
      </c>
      <c r="G57" s="24">
        <v>5.9235476886641499E-2</v>
      </c>
      <c r="H57" s="14">
        <v>73940.279416149686</v>
      </c>
    </row>
    <row r="58" spans="2:8" ht="14.1" customHeight="1" x14ac:dyDescent="0.25">
      <c r="B58" s="1">
        <v>2006</v>
      </c>
      <c r="C58" s="15">
        <v>100693.8771540787</v>
      </c>
      <c r="D58" s="15">
        <v>430834.14855241921</v>
      </c>
      <c r="E58" s="21">
        <v>4.2786528906138948</v>
      </c>
      <c r="F58" s="25">
        <v>0.746274173259735</v>
      </c>
      <c r="G58" s="25">
        <v>5.9300399734894302E-2</v>
      </c>
      <c r="H58" s="15">
        <v>75145.239925477377</v>
      </c>
    </row>
    <row r="59" spans="2:8" ht="14.1" customHeight="1" x14ac:dyDescent="0.25">
      <c r="B59" s="13">
        <v>2007</v>
      </c>
      <c r="C59" s="14">
        <v>103846.9822686017</v>
      </c>
      <c r="D59" s="14">
        <v>436066.90234865388</v>
      </c>
      <c r="E59" s="20">
        <v>4.1991292652179411</v>
      </c>
      <c r="F59" s="24">
        <v>0.746274173259735</v>
      </c>
      <c r="G59" s="24">
        <v>6.04234379831829E-2</v>
      </c>
      <c r="H59" s="14">
        <v>77498.320838019063</v>
      </c>
    </row>
    <row r="60" spans="2:8" ht="14.1" customHeight="1" x14ac:dyDescent="0.25">
      <c r="B60" s="1">
        <v>2008</v>
      </c>
      <c r="C60" s="15">
        <v>98361.256126143315</v>
      </c>
      <c r="D60" s="15">
        <v>439026.51738477661</v>
      </c>
      <c r="E60" s="21">
        <v>4.4634090156570121</v>
      </c>
      <c r="F60" s="25">
        <v>0.746274173259735</v>
      </c>
      <c r="G60" s="25">
        <v>5.6845748585941901E-2</v>
      </c>
      <c r="H60" s="15">
        <v>73404.465096326647</v>
      </c>
    </row>
    <row r="61" spans="2:8" ht="14.1" customHeight="1" x14ac:dyDescent="0.25">
      <c r="B61" s="13">
        <v>2009</v>
      </c>
      <c r="C61" s="14">
        <v>99875.007770695622</v>
      </c>
      <c r="D61" s="14">
        <v>448352.17360516702</v>
      </c>
      <c r="E61" s="20">
        <v>4.4891328032188476</v>
      </c>
      <c r="F61" s="24">
        <v>0.746274173259735</v>
      </c>
      <c r="G61" s="24">
        <v>5.6520009066859299E-2</v>
      </c>
      <c r="H61" s="14">
        <v>74534.138853385492</v>
      </c>
    </row>
    <row r="62" spans="2:8" ht="14.1" customHeight="1" x14ac:dyDescent="0.25">
      <c r="B62" s="1">
        <v>2010</v>
      </c>
      <c r="C62" s="15">
        <v>106302.6624684852</v>
      </c>
      <c r="D62" s="15">
        <v>448651.57251987088</v>
      </c>
      <c r="E62" s="21">
        <v>4.2205111527933701</v>
      </c>
      <c r="F62" s="25">
        <v>0.746274173259735</v>
      </c>
      <c r="G62" s="25">
        <v>6.0117321706953601E-2</v>
      </c>
      <c r="H62" s="15">
        <v>79330.931548977431</v>
      </c>
    </row>
    <row r="63" spans="2:8" ht="14.1" customHeight="1" x14ac:dyDescent="0.25">
      <c r="B63" s="13">
        <v>2011</v>
      </c>
      <c r="C63" s="14">
        <v>105742.14990027119</v>
      </c>
      <c r="D63" s="14">
        <v>447630.44817939552</v>
      </c>
      <c r="E63" s="20">
        <v>4.233226283006065</v>
      </c>
      <c r="F63" s="24">
        <v>0.746274173259735</v>
      </c>
      <c r="G63" s="24">
        <v>5.9936750312362501E-2</v>
      </c>
      <c r="H63" s="14">
        <v>78912.635495531897</v>
      </c>
    </row>
    <row r="64" spans="2:8" ht="14.1" customHeight="1" x14ac:dyDescent="0.25">
      <c r="B64" s="1">
        <v>2012</v>
      </c>
      <c r="C64" s="15">
        <v>107452.30477919659</v>
      </c>
      <c r="D64" s="15">
        <v>448342.31165606022</v>
      </c>
      <c r="E64" s="21">
        <v>4.1724773849882251</v>
      </c>
      <c r="F64" s="25">
        <v>0.746274173259735</v>
      </c>
      <c r="G64" s="25">
        <v>6.0809395313470502E-2</v>
      </c>
      <c r="H64" s="15">
        <v>80188.87991394804</v>
      </c>
    </row>
    <row r="65" spans="2:8" ht="14.1" customHeight="1" x14ac:dyDescent="0.25">
      <c r="B65" s="13">
        <v>2013</v>
      </c>
      <c r="C65" s="14">
        <v>107153.0357690714</v>
      </c>
      <c r="D65" s="14">
        <v>452460.09990167542</v>
      </c>
      <c r="E65" s="20">
        <v>4.2225597870767313</v>
      </c>
      <c r="F65" s="24">
        <v>0.746274173259735</v>
      </c>
      <c r="G65" s="24">
        <v>6.0088154942601398E-2</v>
      </c>
      <c r="H65" s="14">
        <v>79965.543180834546</v>
      </c>
    </row>
    <row r="66" spans="2:8" ht="14.1" customHeight="1" x14ac:dyDescent="0.25">
      <c r="B66" s="1">
        <v>2014</v>
      </c>
      <c r="C66" s="15">
        <v>109471.0398163223</v>
      </c>
      <c r="D66" s="15">
        <v>456906.31627523119</v>
      </c>
      <c r="E66" s="21">
        <v>4.1737642854389474</v>
      </c>
      <c r="F66" s="25">
        <v>0.746274173259735</v>
      </c>
      <c r="G66" s="25">
        <v>6.0790645898581401E-2</v>
      </c>
      <c r="H66" s="15">
        <v>81695.409734809495</v>
      </c>
    </row>
    <row r="67" spans="2:8" ht="14.1" customHeight="1" x14ac:dyDescent="0.25">
      <c r="B67" s="13">
        <v>2015</v>
      </c>
      <c r="C67" s="14">
        <v>112148.7655331671</v>
      </c>
      <c r="D67" s="14">
        <v>460945.92394146568</v>
      </c>
      <c r="E67" s="20">
        <v>4.1101292711522959</v>
      </c>
      <c r="F67" s="24">
        <v>0.746274173259735</v>
      </c>
      <c r="G67" s="24">
        <v>6.1731836154421398E-2</v>
      </c>
      <c r="H67" s="14">
        <v>83693.727280364124</v>
      </c>
    </row>
    <row r="68" spans="2:8" ht="14.1" customHeight="1" x14ac:dyDescent="0.25">
      <c r="B68" s="1">
        <v>2016</v>
      </c>
      <c r="C68" s="15">
        <v>111160.62861934031</v>
      </c>
      <c r="D68" s="15">
        <v>467577.8518253045</v>
      </c>
      <c r="E68" s="21">
        <v>4.2063260853488273</v>
      </c>
      <c r="F68" s="25">
        <v>0.746274173259735</v>
      </c>
      <c r="G68" s="25">
        <v>6.0320056408375997E-2</v>
      </c>
      <c r="H68" s="15">
        <v>82956.306221930616</v>
      </c>
    </row>
    <row r="69" spans="2:8" ht="14.1" customHeight="1" x14ac:dyDescent="0.25">
      <c r="B69" s="13">
        <v>2017</v>
      </c>
      <c r="C69" s="14">
        <v>110830.7654482053</v>
      </c>
      <c r="D69" s="14">
        <v>472698.71194968891</v>
      </c>
      <c r="E69" s="20">
        <v>4.2650496009665826</v>
      </c>
      <c r="F69" s="24">
        <v>0.746274173259735</v>
      </c>
      <c r="G69" s="24">
        <v>5.9489537163357503E-2</v>
      </c>
      <c r="H69" s="14">
        <v>82710.137856603003</v>
      </c>
    </row>
    <row r="70" spans="2:8" ht="14.1" customHeight="1" x14ac:dyDescent="0.25">
      <c r="B70" s="1">
        <v>2018</v>
      </c>
      <c r="C70" s="15">
        <v>109896.0716122233</v>
      </c>
      <c r="D70" s="15">
        <v>478270.59897767118</v>
      </c>
      <c r="E70" s="21">
        <v>4.3520263459942923</v>
      </c>
      <c r="F70" s="25">
        <v>0.746274173259735</v>
      </c>
      <c r="G70" s="25">
        <v>5.83006182795286E-2</v>
      </c>
      <c r="H70" s="15">
        <v>82012.599986904563</v>
      </c>
    </row>
    <row r="71" spans="2:8" ht="14.1" customHeight="1" x14ac:dyDescent="0.25">
      <c r="B71" s="13">
        <v>2019</v>
      </c>
      <c r="C71" s="14">
        <v>113119.0869565217</v>
      </c>
      <c r="D71" s="14">
        <v>487736.5652173913</v>
      </c>
      <c r="E71" s="20">
        <v>4.3117088224452953</v>
      </c>
      <c r="F71" s="24">
        <v>0.746274173259735</v>
      </c>
      <c r="G71" s="24">
        <v>5.8845770247622997E-2</v>
      </c>
      <c r="H71" s="14">
        <v>84417.85309837434</v>
      </c>
    </row>
    <row r="72" spans="2:8" ht="14.1" customHeight="1" x14ac:dyDescent="0.25">
      <c r="B72" s="1">
        <v>2020</v>
      </c>
      <c r="C72" s="15">
        <v>120482.6612421742</v>
      </c>
      <c r="D72" s="15">
        <v>500986.7563668791</v>
      </c>
      <c r="E72" s="21">
        <v>4.1581647616488073</v>
      </c>
      <c r="F72" s="25">
        <v>0.746274173259735</v>
      </c>
      <c r="G72" s="25">
        <v>6.1018704472801298E-2</v>
      </c>
      <c r="H72" s="15">
        <v>89913.098410636245</v>
      </c>
    </row>
    <row r="73" spans="2:8" ht="14.1" customHeight="1" x14ac:dyDescent="0.25">
      <c r="B73" s="13">
        <v>2021</v>
      </c>
      <c r="C73" s="14">
        <v>125980.6760508898</v>
      </c>
      <c r="D73" s="14">
        <v>515193.01456798799</v>
      </c>
      <c r="E73" s="20">
        <v>4.0894606277543417</v>
      </c>
      <c r="F73" s="24">
        <v>0.746274173259735</v>
      </c>
      <c r="G73" s="24">
        <v>6.2043836543694497E-2</v>
      </c>
      <c r="H73" s="14">
        <v>94016.124866580256</v>
      </c>
    </row>
    <row r="74" spans="2:8" ht="14.1" customHeight="1" x14ac:dyDescent="0.25">
      <c r="B74" s="1">
        <v>2022</v>
      </c>
      <c r="C74" s="15">
        <v>126979.1764436974</v>
      </c>
      <c r="D74" s="15">
        <v>528121.2884221042</v>
      </c>
      <c r="E74" s="21">
        <v>4.1591172916157104</v>
      </c>
      <c r="F74" s="25">
        <v>0.746274173259735</v>
      </c>
      <c r="G74" s="25">
        <v>6.1004729838166898E-2</v>
      </c>
      <c r="H74" s="15">
        <v>94761.279921722293</v>
      </c>
    </row>
    <row r="75" spans="2:8" ht="14.1" customHeight="1" x14ac:dyDescent="0.25">
      <c r="B75" s="13">
        <v>2023</v>
      </c>
      <c r="C75" s="14">
        <v>129730.7399417308</v>
      </c>
      <c r="D75" s="14">
        <v>542977.66410783189</v>
      </c>
      <c r="E75" s="20">
        <v>4.1854202354177064</v>
      </c>
      <c r="F75" s="24">
        <v>0.746274173259735</v>
      </c>
      <c r="G75" s="24">
        <v>6.0621350418578197E-2</v>
      </c>
      <c r="H75" s="14">
        <v>96814.700696388783</v>
      </c>
    </row>
    <row r="76" spans="2:8" x14ac:dyDescent="0.25">
      <c r="B76" s="57" t="s">
        <v>127</v>
      </c>
      <c r="C76" s="49"/>
      <c r="D76" s="49"/>
      <c r="E76" s="49"/>
      <c r="F76" s="49"/>
      <c r="G76" s="49"/>
      <c r="H76" s="49"/>
    </row>
  </sheetData>
  <mergeCells count="1">
    <mergeCell ref="B76:H7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7"/>
  <sheetViews>
    <sheetView showGridLines="0" workbookViewId="0">
      <selection activeCell="B7" sqref="B7"/>
    </sheetView>
  </sheetViews>
  <sheetFormatPr baseColWidth="10" defaultColWidth="9.140625" defaultRowHeight="15" x14ac:dyDescent="0.25"/>
  <cols>
    <col min="1" max="1" width="24" customWidth="1"/>
    <col min="2" max="2" width="46" customWidth="1"/>
    <col min="3" max="3" width="37.85546875" customWidth="1"/>
  </cols>
  <sheetData>
    <row r="1" spans="1:3" ht="27.95" customHeight="1" x14ac:dyDescent="0.25">
      <c r="A1" s="58" t="s">
        <v>72</v>
      </c>
      <c r="B1" s="49"/>
      <c r="C1" s="49"/>
    </row>
    <row r="2" spans="1:3" ht="15.95" customHeight="1" x14ac:dyDescent="0.25">
      <c r="A2" s="61" t="s">
        <v>73</v>
      </c>
      <c r="B2" s="49"/>
      <c r="C2" s="49"/>
    </row>
    <row r="3" spans="1:3" ht="8.1" customHeight="1" x14ac:dyDescent="0.25"/>
    <row r="4" spans="1:3" ht="20.100000000000001" customHeight="1" x14ac:dyDescent="0.25">
      <c r="A4" s="12" t="s">
        <v>74</v>
      </c>
      <c r="B4" s="12" t="s">
        <v>75</v>
      </c>
      <c r="C4" s="12" t="s">
        <v>76</v>
      </c>
    </row>
    <row r="5" spans="1:3" ht="18" customHeight="1" x14ac:dyDescent="0.25">
      <c r="A5" s="28" t="s">
        <v>77</v>
      </c>
      <c r="B5" s="6" t="s">
        <v>78</v>
      </c>
      <c r="C5" s="29" t="s">
        <v>79</v>
      </c>
    </row>
    <row r="6" spans="1:3" ht="18" customHeight="1" x14ac:dyDescent="0.25">
      <c r="A6" s="30" t="s">
        <v>80</v>
      </c>
      <c r="B6" s="10" t="s">
        <v>81</v>
      </c>
      <c r="C6" s="31" t="s">
        <v>82</v>
      </c>
    </row>
    <row r="7" spans="1:3" ht="18" customHeight="1" x14ac:dyDescent="0.25">
      <c r="A7" s="28" t="s">
        <v>83</v>
      </c>
      <c r="B7" s="6" t="s">
        <v>84</v>
      </c>
      <c r="C7" s="29" t="s">
        <v>85</v>
      </c>
    </row>
    <row r="8" spans="1:3" ht="18" customHeight="1" x14ac:dyDescent="0.25">
      <c r="A8" s="30" t="s">
        <v>86</v>
      </c>
      <c r="B8" s="10" t="s">
        <v>87</v>
      </c>
      <c r="C8" s="31" t="s">
        <v>88</v>
      </c>
    </row>
    <row r="9" spans="1:3" ht="18" customHeight="1" x14ac:dyDescent="0.25">
      <c r="A9" s="28" t="s">
        <v>89</v>
      </c>
      <c r="B9" s="6" t="s">
        <v>90</v>
      </c>
      <c r="C9" s="29" t="s">
        <v>91</v>
      </c>
    </row>
    <row r="10" spans="1:3" ht="18" customHeight="1" x14ac:dyDescent="0.25">
      <c r="A10" s="30" t="s">
        <v>92</v>
      </c>
      <c r="B10" s="10" t="s">
        <v>93</v>
      </c>
      <c r="C10" s="31" t="s">
        <v>94</v>
      </c>
    </row>
    <row r="11" spans="1:3" ht="18" customHeight="1" x14ac:dyDescent="0.25">
      <c r="A11" s="28" t="s">
        <v>43</v>
      </c>
      <c r="B11" s="6" t="s">
        <v>95</v>
      </c>
      <c r="C11" s="29" t="s">
        <v>96</v>
      </c>
    </row>
    <row r="12" spans="1:3" ht="18" customHeight="1" x14ac:dyDescent="0.25">
      <c r="A12" s="30" t="s">
        <v>44</v>
      </c>
      <c r="B12" s="10" t="s">
        <v>97</v>
      </c>
      <c r="C12" s="31" t="s">
        <v>96</v>
      </c>
    </row>
    <row r="13" spans="1:3" ht="18" customHeight="1" x14ac:dyDescent="0.25">
      <c r="A13" s="28" t="s">
        <v>98</v>
      </c>
      <c r="B13" s="6" t="s">
        <v>99</v>
      </c>
      <c r="C13" s="29" t="s">
        <v>100</v>
      </c>
    </row>
    <row r="14" spans="1:3" ht="18" customHeight="1" x14ac:dyDescent="0.25">
      <c r="A14" s="30" t="s">
        <v>101</v>
      </c>
      <c r="B14" s="10" t="s">
        <v>102</v>
      </c>
      <c r="C14" s="31" t="s">
        <v>100</v>
      </c>
    </row>
    <row r="15" spans="1:3" ht="18" customHeight="1" x14ac:dyDescent="0.25">
      <c r="A15" s="28" t="s">
        <v>103</v>
      </c>
      <c r="B15" s="6" t="s">
        <v>104</v>
      </c>
      <c r="C15" s="29" t="s">
        <v>96</v>
      </c>
    </row>
    <row r="16" spans="1:3" ht="18" customHeight="1" x14ac:dyDescent="0.25">
      <c r="A16" s="30" t="s">
        <v>105</v>
      </c>
      <c r="B16" s="10" t="s">
        <v>106</v>
      </c>
      <c r="C16" s="31" t="s">
        <v>107</v>
      </c>
    </row>
    <row r="17" spans="1:3" ht="18" customHeight="1" x14ac:dyDescent="0.25">
      <c r="A17" s="28" t="s">
        <v>108</v>
      </c>
      <c r="B17" s="6" t="s">
        <v>109</v>
      </c>
      <c r="C17" s="29" t="s">
        <v>100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Dashboard</vt:lpstr>
      <vt:lpstr>H1-PIB por L</vt:lpstr>
      <vt:lpstr>H2-Capital por L</vt:lpstr>
      <vt:lpstr>H3-K sobre Y</vt:lpstr>
      <vt:lpstr>H4-Labsh</vt:lpstr>
      <vt:lpstr>H5-Retorno</vt:lpstr>
      <vt:lpstr>H6-Salarios</vt:lpstr>
      <vt:lpstr>Datos Raw</vt:lpstr>
      <vt:lpstr>Metodologia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FERREIRA</cp:lastModifiedBy>
  <dcterms:created xsi:type="dcterms:W3CDTF">2026-06-01T23:15:15Z</dcterms:created>
  <dcterms:modified xsi:type="dcterms:W3CDTF">2026-07-16T14:43:09Z</dcterms:modified>
</cp:coreProperties>
</file>